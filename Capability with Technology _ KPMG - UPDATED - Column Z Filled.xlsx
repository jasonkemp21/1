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7720" yWindow="-1920" windowWidth="29040" windowHeight="15720" tabRatio="600" firstSheet="5" activeTab="5" autoFilterDateGrouping="1"/>
  </bookViews>
  <sheets>
    <sheet name="Develop" sheetId="1" state="visible" r:id="rId1"/>
    <sheet name="Make" sheetId="2" state="visible" r:id="rId2"/>
    <sheet name="Activate" sheetId="3" state="visible" r:id="rId3"/>
    <sheet name="Support" sheetId="4" state="visible" r:id="rId4"/>
    <sheet name="Global Inv - Pivot" sheetId="5" state="visible" r:id="rId5"/>
    <sheet name="Global Inv - Mar 2026 (2)" sheetId="6" state="visible" r:id="rId6"/>
    <sheet name="IT Shadow" sheetId="7" state="visible" r:id="rId7"/>
    <sheet name="IT managed" sheetId="8" state="visible" r:id="rId8"/>
    <sheet name="2026 LOB IT Vendor List" sheetId="9" state="visible" r:id="rId9"/>
    <sheet name="Portfolio Categories" sheetId="10" state="visible" r:id="rId10"/>
  </sheets>
  <definedNames>
    <definedName name="_xlnm._FilterDatabase" localSheetId="5" hidden="1">'Global Inv - Mar 2026 (2)'!$B$2:$AB$692</definedName>
  </definedNames>
  <calcPr calcId="191028" fullCalcOnLoad="1"/>
  <pivotCaches>
    <pivotCache cacheId="0" r:id="rId11"/>
  </pivotCaches>
</workbook>
</file>

<file path=xl/styles.xml><?xml version="1.0" encoding="utf-8"?>
<styleSheet xmlns="http://schemas.openxmlformats.org/spreadsheetml/2006/main">
  <numFmts count="2">
    <numFmt numFmtId="164" formatCode="[$-409]d\-mmm\-yyyy;@"/>
    <numFmt numFmtId="165" formatCode="_(&quot;$&quot;* #,##0_);_(&quot;$&quot;* \(#,##0\);_(&quot;$&quot;* &quot;-&quot;??_);_(@_)"/>
  </numFmts>
  <fonts count="47">
    <font>
      <name val="Aptos Narrow"/>
      <family val="2"/>
      <color theme="1"/>
      <sz val="12"/>
      <scheme val="minor"/>
    </font>
    <font>
      <name val="Aptos Narrow"/>
      <family val="2"/>
      <color theme="1"/>
      <sz val="11"/>
      <scheme val="minor"/>
    </font>
    <font>
      <name val="Aptos Narrow"/>
      <family val="2"/>
      <color theme="1"/>
      <sz val="11"/>
      <scheme val="minor"/>
    </font>
    <font>
      <name val="Aptos Narrow"/>
      <family val="2"/>
      <color theme="1"/>
      <sz val="11"/>
      <scheme val="minor"/>
    </font>
    <font>
      <name val="Aptos Narrow"/>
      <family val="2"/>
      <color theme="1"/>
      <sz val="11"/>
      <scheme val="minor"/>
    </font>
    <font>
      <name val="Aptos Narrow"/>
      <family val="2"/>
      <color theme="0"/>
      <sz val="12"/>
      <scheme val="minor"/>
    </font>
    <font>
      <name val="Arial"/>
      <family val="2"/>
      <sz val="18"/>
    </font>
    <font>
      <name val="Aptos"/>
      <b val="1"/>
      <color rgb="FFFEFFFF"/>
      <sz val="12"/>
    </font>
    <font>
      <name val="Aptos"/>
      <b val="1"/>
      <color rgb="FF072C3C"/>
      <sz val="11"/>
    </font>
    <font>
      <name val="Aptos"/>
      <color rgb="FF072C3C"/>
      <sz val="11"/>
    </font>
    <font>
      <name val="Aptos"/>
      <b val="1"/>
      <color rgb="FFFEFFFF"/>
      <sz val="11"/>
    </font>
    <font>
      <name val="Aptos"/>
      <color rgb="FF072C3C"/>
      <sz val="10"/>
    </font>
    <font>
      <name val="Aptos Narrow"/>
      <b val="1"/>
      <color theme="1"/>
      <sz val="12"/>
      <scheme val="minor"/>
    </font>
    <font>
      <name val="Aptos Narrow"/>
      <color theme="1"/>
      <sz val="12"/>
      <scheme val="minor"/>
    </font>
    <font>
      <name val="Calibri"/>
      <family val="2"/>
      <color rgb="FF072C3C"/>
      <sz val="11"/>
    </font>
    <font>
      <name val="Aptos"/>
      <b val="1"/>
      <color theme="1"/>
      <sz val="11"/>
    </font>
    <font>
      <name val="Aptos"/>
      <color theme="1"/>
      <sz val="11"/>
    </font>
    <font>
      <name val="Arial"/>
      <family val="2"/>
      <color theme="1"/>
      <sz val="18"/>
    </font>
    <font>
      <name val="Aptos"/>
      <color rgb="FF000000"/>
      <sz val="11"/>
    </font>
    <font>
      <name val="Aptos"/>
      <b val="1"/>
      <color theme="0"/>
      <sz val="12"/>
    </font>
    <font>
      <name val="Arial"/>
      <family val="2"/>
      <color theme="0"/>
      <sz val="12"/>
    </font>
    <font>
      <name val="Aptos"/>
      <color rgb="FF072C3C"/>
      <sz val="12"/>
    </font>
    <font>
      <name val="Arial"/>
      <family val="2"/>
      <sz val="12"/>
    </font>
    <font>
      <name val="Aptos Narrow"/>
      <b val="1"/>
      <color rgb="FF000000"/>
      <sz val="11"/>
    </font>
    <font>
      <name val="Aptos Narrow"/>
      <color rgb="FFFFFFFF"/>
      <sz val="11"/>
    </font>
    <font>
      <name val="Aptos Narrow"/>
      <color rgb="FF000000"/>
      <sz val="11"/>
    </font>
    <font>
      <name val="Aptos Narrow"/>
      <family val="2"/>
      <color theme="1"/>
      <sz val="11"/>
      <scheme val="minor"/>
    </font>
    <font>
      <name val="Aptos Narrow"/>
      <family val="2"/>
      <color theme="0"/>
      <sz val="14"/>
      <scheme val="minor"/>
    </font>
    <font>
      <name val="Aptos Narrow"/>
      <family val="2"/>
      <b val="1"/>
      <color theme="0"/>
      <sz val="14"/>
      <scheme val="minor"/>
    </font>
    <font>
      <name val="Aptos Narrow"/>
      <family val="2"/>
      <color rgb="FFFFFFFF"/>
      <sz val="14"/>
      <scheme val="minor"/>
    </font>
    <font>
      <name val="Aptos Narrow"/>
      <family val="2"/>
      <color rgb="FF006100"/>
      <sz val="11"/>
      <scheme val="minor"/>
    </font>
    <font>
      <name val="Aptos Narrow"/>
      <family val="2"/>
      <b val="1"/>
      <sz val="11"/>
      <scheme val="minor"/>
    </font>
    <font>
      <name val="Aptos Narrow"/>
      <family val="2"/>
      <b val="1"/>
      <color theme="1"/>
      <sz val="11"/>
      <scheme val="minor"/>
    </font>
    <font>
      <name val="Calibri"/>
      <family val="2"/>
      <color rgb="FF000000"/>
      <sz val="11"/>
    </font>
    <font>
      <name val="Verdana"/>
      <family val="2"/>
      <b val="1"/>
      <color rgb="FF000000"/>
      <sz val="9"/>
    </font>
    <font>
      <name val="Aptos Narrow"/>
      <family val="2"/>
      <color theme="10"/>
      <sz val="11"/>
      <u val="single"/>
      <scheme val="minor"/>
    </font>
    <font>
      <name val="Aptos Narrow"/>
      <family val="2"/>
      <b val="1"/>
      <color theme="10"/>
      <sz val="11"/>
      <u val="single"/>
      <scheme val="minor"/>
    </font>
    <font>
      <name val="Aptos Narrow"/>
      <family val="2"/>
      <color rgb="FF9C0006"/>
      <sz val="11"/>
      <scheme val="minor"/>
    </font>
    <font>
      <name val="Aptos Narrow"/>
      <family val="2"/>
      <b val="1"/>
      <strike val="1"/>
      <color theme="1"/>
      <sz val="11"/>
      <scheme val="minor"/>
    </font>
    <font>
      <name val="Aptos Narrow"/>
      <family val="2"/>
      <color rgb="FF9C5700"/>
      <sz val="11"/>
      <scheme val="minor"/>
    </font>
    <font>
      <name val="Aptos"/>
      <family val="2"/>
      <color theme="1"/>
      <sz val="11"/>
    </font>
    <font>
      <name val="Aptos Narrow"/>
      <family val="2"/>
      <b val="1"/>
      <color rgb="FFFF0000"/>
      <sz val="11"/>
      <scheme val="minor"/>
    </font>
    <font>
      <name val="Aptos Narrow"/>
      <color rgb="FFFF0000"/>
      <sz val="11"/>
    </font>
    <font>
      <name val="Aptos Narrow"/>
      <family val="2"/>
      <b val="1"/>
      <color rgb="FFFFFFFF"/>
      <sz val="11"/>
      <scheme val="minor"/>
    </font>
    <font>
      <name val="Aptos Narrow"/>
      <family val="2"/>
      <b val="1"/>
      <color theme="0"/>
      <sz val="11"/>
      <scheme val="minor"/>
    </font>
    <font>
      <name val="Aptos Narrow"/>
      <family val="2"/>
      <b val="1"/>
      <color theme="0"/>
      <sz val="12"/>
      <scheme val="minor"/>
    </font>
    <font>
      <name val="Arial"/>
      <family val="2"/>
      <color rgb="FF1F1F1F"/>
      <sz val="8"/>
    </font>
  </fonts>
  <fills count="22">
    <fill>
      <patternFill/>
    </fill>
    <fill>
      <patternFill patternType="gray125"/>
    </fill>
    <fill>
      <patternFill patternType="solid">
        <fgColor rgb="FF00701D"/>
        <bgColor indexed="64"/>
      </patternFill>
    </fill>
    <fill>
      <patternFill patternType="solid">
        <fgColor rgb="FFFFFF00"/>
        <bgColor indexed="64"/>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FFFFF"/>
        <bgColor rgb="FF000000"/>
      </patternFill>
    </fill>
    <fill>
      <patternFill patternType="solid">
        <fgColor theme="6" tint="0.7999816888943144"/>
        <bgColor indexed="64"/>
      </patternFill>
    </fill>
    <fill>
      <patternFill patternType="solid">
        <fgColor theme="6" tint="0.7999816888943144"/>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bgColor theme="9"/>
      </patternFill>
    </fill>
    <fill>
      <patternFill patternType="solid">
        <fgColor rgb="FFFFD4D4"/>
        <bgColor indexed="64"/>
      </patternFill>
    </fill>
    <fill>
      <patternFill patternType="solid">
        <fgColor theme="7" tint="0.7999816888943144"/>
        <bgColor indexed="64"/>
      </patternFill>
    </fill>
    <fill>
      <patternFill patternType="solid">
        <fgColor theme="2"/>
        <bgColor indexed="64"/>
      </patternFill>
    </fill>
    <fill>
      <patternFill patternType="solid">
        <fgColor theme="9" tint="0.7999816888943144"/>
        <bgColor indexed="64"/>
      </patternFill>
    </fill>
    <fill>
      <patternFill patternType="solid">
        <fgColor theme="6"/>
        <bgColor indexed="64"/>
      </patternFill>
    </fill>
    <fill>
      <patternFill patternType="solid">
        <fgColor rgb="FFE2EFDA"/>
        <bgColor indexed="64"/>
      </patternFill>
    </fill>
    <fill>
      <patternFill patternType="solid">
        <fgColor rgb="FF1F4E78"/>
        <bgColor indexed="64"/>
      </patternFill>
    </fill>
    <fill>
      <patternFill patternType="solid">
        <fgColor theme="3"/>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9"/>
      </top>
      <bottom style="thin">
        <color theme="9"/>
      </bottom>
      <diagonal/>
    </border>
    <border>
      <left/>
      <right/>
      <top style="thin">
        <color theme="9"/>
      </top>
      <bottom/>
      <diagonal/>
    </border>
    <border>
      <left/>
      <right/>
      <top style="thin">
        <color rgb="FF70AD47"/>
      </top>
      <bottom style="thin">
        <color rgb="FF70AD47"/>
      </bottom>
      <diagonal/>
    </border>
    <border>
      <left/>
      <right style="thin">
        <color indexed="64"/>
      </right>
      <top/>
      <bottom/>
      <diagonal/>
    </border>
    <border>
      <left style="thin">
        <color theme="0"/>
      </left>
      <right style="thin">
        <color theme="0"/>
      </right>
      <top/>
      <bottom style="thin">
        <color theme="0"/>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bottom style="thin">
        <color theme="4" tint="0.3999755851924192"/>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style="thin">
        <color theme="0"/>
      </right>
      <top/>
      <bottom/>
      <diagonal/>
    </border>
  </borders>
  <cellStyleXfs count="10">
    <xf numFmtId="0" fontId="0" fillId="0" borderId="0"/>
    <xf numFmtId="0" fontId="26" fillId="0" borderId="0"/>
    <xf numFmtId="0" fontId="30" fillId="10" borderId="0"/>
    <xf numFmtId="0" fontId="26" fillId="0" borderId="9" applyAlignment="1">
      <alignment horizontal="center" vertical="center" wrapText="1"/>
    </xf>
    <xf numFmtId="0" fontId="35" fillId="0" borderId="0"/>
    <xf numFmtId="0" fontId="37" fillId="11" borderId="0"/>
    <xf numFmtId="0" fontId="39" fillId="12" borderId="0"/>
    <xf numFmtId="0" fontId="26" fillId="0" borderId="0"/>
    <xf numFmtId="0" fontId="26" fillId="0" borderId="0"/>
    <xf numFmtId="0" fontId="26" fillId="0" borderId="9" applyAlignment="1">
      <alignment horizontal="center" vertical="center" wrapText="1"/>
    </xf>
  </cellStyleXfs>
  <cellXfs count="157">
    <xf numFmtId="0" fontId="0" fillId="0" borderId="0" pivotButton="0" quotePrefix="0" xfId="0"/>
    <xf numFmtId="0" fontId="7" fillId="2" borderId="0" applyAlignment="1" pivotButton="0" quotePrefix="0" xfId="0">
      <alignment horizontal="left" vertical="center" wrapText="1" indent="1" readingOrder="1"/>
    </xf>
    <xf numFmtId="0" fontId="8" fillId="0" borderId="0" applyAlignment="1" pivotButton="0" quotePrefix="0" xfId="0">
      <alignment horizontal="left" vertical="center" wrapText="1" indent="1" readingOrder="1"/>
    </xf>
    <xf numFmtId="0" fontId="9" fillId="0" borderId="0" applyAlignment="1" pivotButton="0" quotePrefix="0" xfId="0">
      <alignment horizontal="left" vertical="center" wrapText="1" indent="1" readingOrder="1"/>
    </xf>
    <xf numFmtId="0" fontId="6" fillId="2" borderId="0" applyAlignment="1" pivotButton="0" quotePrefix="0" xfId="0">
      <alignment horizontal="center" vertical="top" wrapText="1"/>
    </xf>
    <xf numFmtId="0" fontId="10" fillId="2" borderId="0" applyAlignment="1" pivotButton="0" quotePrefix="0" xfId="0">
      <alignment horizontal="left" vertical="center" wrapText="1" readingOrder="1"/>
    </xf>
    <xf numFmtId="0" fontId="11" fillId="0" borderId="0" applyAlignment="1" pivotButton="0" quotePrefix="0" xfId="0">
      <alignment horizontal="left" vertical="center" wrapText="1" indent="1" readingOrder="1"/>
    </xf>
    <xf numFmtId="0" fontId="6" fillId="0" borderId="0" applyAlignment="1" pivotButton="0" quotePrefix="0" xfId="0">
      <alignment horizontal="left" vertical="center" wrapText="1" indent="1"/>
    </xf>
    <xf numFmtId="0" fontId="0" fillId="0" borderId="0" applyAlignment="1" pivotButton="0" quotePrefix="0" xfId="0">
      <alignment horizontal="center" vertical="center"/>
    </xf>
    <xf numFmtId="0" fontId="6" fillId="0" borderId="0" applyAlignment="1" pivotButton="0" quotePrefix="0" xfId="0">
      <alignment horizontal="right" vertical="center" wrapText="1" indent="1"/>
    </xf>
    <xf numFmtId="0" fontId="10" fillId="0" borderId="0" applyAlignment="1" pivotButton="0" quotePrefix="0" xfId="0">
      <alignment horizontal="left" vertical="center" wrapText="1" indent="1" readingOrder="1"/>
    </xf>
    <xf numFmtId="0" fontId="0" fillId="0" borderId="0" applyAlignment="1" pivotButton="0" quotePrefix="0" xfId="0">
      <alignment wrapText="1"/>
    </xf>
    <xf numFmtId="0" fontId="11" fillId="0" borderId="0" applyAlignment="1" pivotButton="0" quotePrefix="0" xfId="0">
      <alignment horizontal="left" vertical="center" wrapText="1" readingOrder="1"/>
    </xf>
    <xf numFmtId="0" fontId="9" fillId="0" borderId="0" applyAlignment="1" pivotButton="0" quotePrefix="0" xfId="0">
      <alignment horizontal="left" vertical="center" wrapText="1" readingOrder="1"/>
    </xf>
    <xf numFmtId="0" fontId="8" fillId="0" borderId="0" applyAlignment="1" pivotButton="0" quotePrefix="0" xfId="0">
      <alignment horizontal="left" vertical="center" wrapText="1" readingOrder="1"/>
    </xf>
    <xf numFmtId="0" fontId="0" fillId="0" borderId="0" applyAlignment="1" pivotButton="0" quotePrefix="0" xfId="0">
      <alignment horizontal="left"/>
    </xf>
    <xf numFmtId="0" fontId="7" fillId="2" borderId="0" applyAlignment="1" pivotButton="0" quotePrefix="0" xfId="0">
      <alignment horizontal="left" vertical="center" wrapText="1" readingOrder="1"/>
    </xf>
    <xf numFmtId="0" fontId="16" fillId="0" borderId="0" applyAlignment="1" pivotButton="0" quotePrefix="0" xfId="0">
      <alignment horizontal="left" vertical="center" wrapText="1" readingOrder="1"/>
    </xf>
    <xf numFmtId="0" fontId="17"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center"/>
    </xf>
    <xf numFmtId="0" fontId="14" fillId="0" borderId="0" applyAlignment="1" pivotButton="0" quotePrefix="0" xfId="0">
      <alignment horizontal="left" vertical="center" wrapText="1" readingOrder="1"/>
    </xf>
    <xf numFmtId="0" fontId="9" fillId="3" borderId="0" applyAlignment="1" pivotButton="0" quotePrefix="0" xfId="0">
      <alignment horizontal="left" vertical="center" wrapText="1" indent="1" readingOrder="1"/>
    </xf>
    <xf numFmtId="0" fontId="19" fillId="2" borderId="0" applyAlignment="1" pivotButton="0" quotePrefix="0" xfId="0">
      <alignment horizontal="left" vertical="center" wrapText="1" readingOrder="1"/>
    </xf>
    <xf numFmtId="0" fontId="5" fillId="0" borderId="0" pivotButton="0" quotePrefix="0" xfId="0"/>
    <xf numFmtId="0" fontId="20" fillId="2" borderId="0" applyAlignment="1" pivotButton="0" quotePrefix="0" xfId="0">
      <alignment horizontal="center" vertical="center" wrapText="1"/>
    </xf>
    <xf numFmtId="0" fontId="21" fillId="0" borderId="0" applyAlignment="1" pivotButton="0" quotePrefix="0" xfId="0">
      <alignment horizontal="left" vertical="center" wrapText="1" indent="1" readingOrder="1"/>
    </xf>
    <xf numFmtId="0" fontId="22" fillId="2" borderId="0" applyAlignment="1" pivotButton="0" quotePrefix="0" xfId="0">
      <alignment horizontal="center" vertical="top" wrapText="1"/>
    </xf>
    <xf numFmtId="0" fontId="13" fillId="0" borderId="0" applyAlignment="1" pivotButton="0" quotePrefix="0" xfId="0">
      <alignment horizontal="left" vertical="center" wrapText="1"/>
    </xf>
    <xf numFmtId="0" fontId="9" fillId="3" borderId="0" applyAlignment="1" pivotButton="0" quotePrefix="0" xfId="0">
      <alignment horizontal="left" vertical="center" wrapText="1" readingOrder="1"/>
    </xf>
    <xf numFmtId="0" fontId="23" fillId="4" borderId="1" applyAlignment="1" pivotButton="0" quotePrefix="0" xfId="0">
      <alignment wrapText="1"/>
    </xf>
    <xf numFmtId="0" fontId="23" fillId="4" borderId="2" applyAlignment="1" pivotButton="0" quotePrefix="0" xfId="0">
      <alignment wrapText="1"/>
    </xf>
    <xf numFmtId="0" fontId="24" fillId="5" borderId="3" pivotButton="0" quotePrefix="0" xfId="0"/>
    <xf numFmtId="0" fontId="24" fillId="5" borderId="4" pivotButton="0" quotePrefix="0" xfId="0"/>
    <xf numFmtId="0" fontId="25" fillId="0" borderId="3" pivotButton="0" quotePrefix="0" xfId="0"/>
    <xf numFmtId="0" fontId="25" fillId="0" borderId="4" pivotButton="0" quotePrefix="0" xfId="0"/>
    <xf numFmtId="0" fontId="25" fillId="0" borderId="4" applyAlignment="1" pivotButton="0" quotePrefix="0" xfId="0">
      <alignment wrapText="1"/>
    </xf>
    <xf numFmtId="0" fontId="23" fillId="6" borderId="1" pivotButton="0" quotePrefix="0" xfId="0"/>
    <xf numFmtId="0" fontId="23" fillId="6" borderId="2" pivotButton="0" quotePrefix="0" xfId="0"/>
    <xf numFmtId="0" fontId="23" fillId="6" borderId="2" applyAlignment="1" pivotButton="0" quotePrefix="0" xfId="0">
      <alignment wrapText="1"/>
    </xf>
    <xf numFmtId="0" fontId="25" fillId="7" borderId="4" applyAlignment="1" pivotButton="0" quotePrefix="0" xfId="0">
      <alignment wrapText="1"/>
    </xf>
    <xf numFmtId="0" fontId="25" fillId="0" borderId="3" applyAlignment="1" pivotButton="0" quotePrefix="0" xfId="0">
      <alignment wrapText="1"/>
    </xf>
    <xf numFmtId="0" fontId="25" fillId="7" borderId="3" pivotButton="0" quotePrefix="0" xfId="0"/>
    <xf numFmtId="0" fontId="25" fillId="7" borderId="4" pivotButton="0" quotePrefix="0" xfId="0"/>
    <xf numFmtId="0" fontId="0" fillId="3" borderId="0" pivotButton="0" quotePrefix="0" xfId="0"/>
    <xf numFmtId="0" fontId="25" fillId="8" borderId="3" pivotButton="0" quotePrefix="0" xfId="0"/>
    <xf numFmtId="0" fontId="25" fillId="8" borderId="4" pivotButton="0" quotePrefix="0" xfId="0"/>
    <xf numFmtId="0" fontId="25" fillId="8" borderId="3" applyAlignment="1" pivotButton="0" quotePrefix="0" xfId="0">
      <alignment wrapText="1"/>
    </xf>
    <xf numFmtId="0" fontId="25" fillId="8" borderId="4" applyAlignment="1" pivotButton="0" quotePrefix="0" xfId="0">
      <alignment wrapText="1"/>
    </xf>
    <xf numFmtId="0" fontId="25" fillId="9" borderId="4" applyAlignment="1" pivotButton="0" quotePrefix="0" xfId="0">
      <alignment wrapText="1"/>
    </xf>
    <xf numFmtId="0" fontId="25" fillId="3" borderId="5" pivotButton="0" quotePrefix="0" xfId="0"/>
    <xf numFmtId="0" fontId="31" fillId="0" borderId="0" applyAlignment="1" pivotButton="0" quotePrefix="0" xfId="2">
      <alignment horizontal="left" vertical="center" wrapText="1"/>
    </xf>
    <xf numFmtId="0" fontId="35" fillId="0" borderId="0" applyAlignment="1" pivotButton="0" quotePrefix="0" xfId="4">
      <alignment horizontal="left" wrapText="1"/>
    </xf>
    <xf numFmtId="0" fontId="36" fillId="15" borderId="10" applyAlignment="1" pivotButton="0" quotePrefix="0" xfId="4">
      <alignment horizontal="left" vertical="center" wrapText="1"/>
    </xf>
    <xf numFmtId="0" fontId="36" fillId="16" borderId="10" applyAlignment="1" pivotButton="0" quotePrefix="0" xfId="4">
      <alignment horizontal="left" vertical="center" wrapText="1"/>
    </xf>
    <xf numFmtId="0" fontId="37" fillId="11" borderId="9" applyAlignment="1" pivotButton="0" quotePrefix="0" xfId="5">
      <alignment horizontal="left" vertical="center" wrapText="1"/>
    </xf>
    <xf numFmtId="0" fontId="36" fillId="14" borderId="10" applyAlignment="1" pivotButton="0" quotePrefix="0" xfId="4">
      <alignment horizontal="left" vertical="center" wrapText="1"/>
    </xf>
    <xf numFmtId="0" fontId="36" fillId="17" borderId="10" applyAlignment="1" pivotButton="0" quotePrefix="0" xfId="4">
      <alignment horizontal="left" vertical="center" wrapText="1"/>
    </xf>
    <xf numFmtId="0" fontId="36" fillId="0" borderId="10" applyAlignment="1" pivotButton="0" quotePrefix="0" xfId="4">
      <alignment horizontal="left" vertical="center" wrapText="1"/>
    </xf>
    <xf numFmtId="0" fontId="39" fillId="12" borderId="9" applyAlignment="1" pivotButton="0" quotePrefix="0" xfId="6">
      <alignment horizontal="left" vertical="center" wrapText="1"/>
    </xf>
    <xf numFmtId="0" fontId="31" fillId="0" borderId="10" applyAlignment="1" pivotButton="0" quotePrefix="0" xfId="6">
      <alignment horizontal="left" vertical="center" wrapText="1"/>
    </xf>
    <xf numFmtId="0" fontId="36" fillId="14" borderId="9" applyAlignment="1" pivotButton="0" quotePrefix="0" xfId="4">
      <alignment horizontal="left" vertical="center" wrapText="1"/>
    </xf>
    <xf numFmtId="0" fontId="36" fillId="18" borderId="10" applyAlignment="1" pivotButton="0" quotePrefix="0" xfId="4">
      <alignment horizontal="left" vertical="center" wrapText="1"/>
    </xf>
    <xf numFmtId="0" fontId="42" fillId="7" borderId="12" applyAlignment="1" pivotButton="0" quotePrefix="0" xfId="0">
      <alignment wrapText="1"/>
    </xf>
    <xf numFmtId="0" fontId="25" fillId="0" borderId="0" pivotButton="0" quotePrefix="0" xfId="0"/>
    <xf numFmtId="0" fontId="25" fillId="0" borderId="0" applyAlignment="1" pivotButton="0" quotePrefix="0" xfId="0">
      <alignment wrapText="1"/>
    </xf>
    <xf numFmtId="0" fontId="43" fillId="20" borderId="0" applyAlignment="1" pivotButton="0" quotePrefix="0" xfId="7">
      <alignment vertical="top" wrapText="1"/>
    </xf>
    <xf numFmtId="0" fontId="4" fillId="0" borderId="0" pivotButton="0" quotePrefix="0" xfId="7"/>
    <xf numFmtId="0" fontId="0" fillId="0" borderId="0" applyAlignment="1" pivotButton="0" quotePrefix="0" xfId="0">
      <alignment vertical="top" wrapText="1"/>
    </xf>
    <xf numFmtId="0" fontId="27" fillId="13" borderId="6" applyAlignment="1" pivotButton="0" quotePrefix="0" xfId="8">
      <alignment horizontal="left" vertical="center" wrapText="1"/>
    </xf>
    <xf numFmtId="0" fontId="28" fillId="13" borderId="6" applyAlignment="1" pivotButton="0" quotePrefix="0" xfId="8">
      <alignment horizontal="left" vertical="center" wrapText="1"/>
    </xf>
    <xf numFmtId="0" fontId="3" fillId="0" borderId="0" applyAlignment="1" pivotButton="0" quotePrefix="0" xfId="8">
      <alignment horizontal="left" vertical="center" wrapText="1"/>
    </xf>
    <xf numFmtId="0" fontId="3" fillId="0" borderId="0" applyAlignment="1" pivotButton="0" quotePrefix="0" xfId="8">
      <alignment horizontal="left" vertical="center"/>
    </xf>
    <xf numFmtId="0" fontId="29" fillId="13" borderId="6" applyAlignment="1" pivotButton="0" quotePrefix="0" xfId="8">
      <alignment horizontal="left" vertical="center" wrapText="1"/>
    </xf>
    <xf numFmtId="0" fontId="3" fillId="3" borderId="0" applyAlignment="1" pivotButton="0" quotePrefix="0" xfId="8">
      <alignment horizontal="left" vertical="center" wrapText="1"/>
    </xf>
    <xf numFmtId="0" fontId="3" fillId="0" borderId="9" applyAlignment="1" pivotButton="0" quotePrefix="0" xfId="9">
      <alignment horizontal="left" vertical="center" wrapText="1"/>
    </xf>
    <xf numFmtId="164" fontId="3" fillId="0" borderId="9" applyAlignment="1" pivotButton="0" quotePrefix="0" xfId="9">
      <alignment horizontal="left" vertical="center" wrapText="1"/>
    </xf>
    <xf numFmtId="0" fontId="32" fillId="14" borderId="10" applyAlignment="1" pivotButton="0" quotePrefix="0" xfId="8">
      <alignment horizontal="left" vertical="center" wrapText="1"/>
    </xf>
    <xf numFmtId="0" fontId="33" fillId="0" borderId="11" applyAlignment="1" pivotButton="0" quotePrefix="0" xfId="8">
      <alignment horizontal="left" wrapText="1"/>
    </xf>
    <xf numFmtId="0" fontId="34" fillId="0" borderId="0" applyAlignment="1" pivotButton="0" quotePrefix="0" xfId="8">
      <alignment horizontal="left"/>
    </xf>
    <xf numFmtId="0" fontId="32" fillId="0" borderId="10" applyAlignment="1" pivotButton="0" quotePrefix="0" xfId="8">
      <alignment horizontal="left" vertical="center" wrapText="1"/>
    </xf>
    <xf numFmtId="0" fontId="0" fillId="0" borderId="9" applyAlignment="1" pivotButton="0" quotePrefix="0" xfId="9">
      <alignment horizontal="left" vertical="center" wrapText="1"/>
    </xf>
    <xf numFmtId="0" fontId="32" fillId="15" borderId="10" applyAlignment="1" pivotButton="0" quotePrefix="0" xfId="8">
      <alignment horizontal="left" vertical="center" wrapText="1"/>
    </xf>
    <xf numFmtId="0" fontId="32" fillId="14" borderId="9" applyAlignment="1" pivotButton="0" quotePrefix="0" xfId="8">
      <alignment horizontal="left" vertical="center" wrapText="1"/>
    </xf>
    <xf numFmtId="0" fontId="3" fillId="16" borderId="9" applyAlignment="1" pivotButton="0" quotePrefix="0" xfId="9">
      <alignment horizontal="left" vertical="center" wrapText="1"/>
    </xf>
    <xf numFmtId="0" fontId="0" fillId="16" borderId="9" applyAlignment="1" pivotButton="0" quotePrefix="0" xfId="9">
      <alignment horizontal="left" vertical="center" wrapText="1"/>
    </xf>
    <xf numFmtId="164" fontId="3" fillId="16" borderId="9" applyAlignment="1" pivotButton="0" quotePrefix="0" xfId="9">
      <alignment horizontal="left" vertical="center" wrapText="1"/>
    </xf>
    <xf numFmtId="0" fontId="3" fillId="0" borderId="9" applyAlignment="1" pivotButton="0" quotePrefix="0" xfId="8">
      <alignment horizontal="left" vertical="center" wrapText="1"/>
    </xf>
    <xf numFmtId="0" fontId="3" fillId="0" borderId="9" applyAlignment="1" pivotButton="0" quotePrefix="0" xfId="8">
      <alignment horizontal="left" vertical="center"/>
    </xf>
    <xf numFmtId="164" fontId="3" fillId="0" borderId="9" applyAlignment="1" pivotButton="0" quotePrefix="0" xfId="8">
      <alignment horizontal="left" vertical="center" wrapText="1"/>
    </xf>
    <xf numFmtId="0" fontId="32" fillId="17" borderId="10" applyAlignment="1" pivotButton="0" quotePrefix="0" xfId="8">
      <alignment horizontal="left" vertical="center" wrapText="1"/>
    </xf>
    <xf numFmtId="0" fontId="32" fillId="17" borderId="10" applyAlignment="1" pivotButton="0" quotePrefix="0" xfId="9">
      <alignment horizontal="left" vertical="center" wrapText="1"/>
    </xf>
    <xf numFmtId="0" fontId="32" fillId="0" borderId="9" applyAlignment="1" pivotButton="0" quotePrefix="0" xfId="8">
      <alignment horizontal="left" vertical="center" wrapText="1"/>
    </xf>
    <xf numFmtId="0" fontId="38" fillId="14" borderId="10" applyAlignment="1" pivotButton="0" quotePrefix="0" xfId="8">
      <alignment horizontal="left" vertical="center" wrapText="1"/>
    </xf>
    <xf numFmtId="0" fontId="32" fillId="0" borderId="0" applyAlignment="1" pivotButton="0" quotePrefix="0" xfId="8">
      <alignment horizontal="left" vertical="center" wrapText="1"/>
    </xf>
    <xf numFmtId="0" fontId="32" fillId="18" borderId="10" applyAlignment="1" pivotButton="0" quotePrefix="0" xfId="9">
      <alignment horizontal="left" vertical="center" wrapText="1"/>
    </xf>
    <xf numFmtId="0" fontId="3" fillId="18" borderId="9" applyAlignment="1" pivotButton="0" quotePrefix="0" xfId="9">
      <alignment horizontal="left" vertical="center" wrapText="1"/>
    </xf>
    <xf numFmtId="0" fontId="0" fillId="18" borderId="9" applyAlignment="1" pivotButton="0" quotePrefix="0" xfId="9">
      <alignment horizontal="left" vertical="center" wrapText="1"/>
    </xf>
    <xf numFmtId="164" fontId="3" fillId="18" borderId="9" applyAlignment="1" pivotButton="0" quotePrefix="0" xfId="8">
      <alignment horizontal="left" vertical="center" wrapText="1"/>
    </xf>
    <xf numFmtId="0" fontId="32" fillId="15" borderId="10" applyAlignment="1" pivotButton="0" quotePrefix="0" xfId="9">
      <alignment horizontal="left" vertical="center" wrapText="1"/>
    </xf>
    <xf numFmtId="0" fontId="32" fillId="19" borderId="10" applyAlignment="1" pivotButton="0" quotePrefix="0" xfId="8">
      <alignment horizontal="left" vertical="center" wrapText="1"/>
    </xf>
    <xf numFmtId="0" fontId="40" fillId="0" borderId="0" applyAlignment="1" pivotButton="0" quotePrefix="0" xfId="8">
      <alignment horizontal="left"/>
    </xf>
    <xf numFmtId="0" fontId="32" fillId="18" borderId="10" applyAlignment="1" pivotButton="0" quotePrefix="0" xfId="8">
      <alignment horizontal="left" vertical="center" wrapText="1"/>
    </xf>
    <xf numFmtId="0" fontId="3" fillId="18" borderId="9" applyAlignment="1" pivotButton="0" quotePrefix="0" xfId="8">
      <alignment horizontal="left" vertical="center" wrapText="1"/>
    </xf>
    <xf numFmtId="15" fontId="3" fillId="0" borderId="9" applyAlignment="1" pivotButton="0" quotePrefix="0" xfId="9">
      <alignment horizontal="left" vertical="center" wrapText="1"/>
    </xf>
    <xf numFmtId="0" fontId="32" fillId="16" borderId="10" applyAlignment="1" pivotButton="0" quotePrefix="0" xfId="8">
      <alignment horizontal="left" vertical="center" wrapText="1"/>
    </xf>
    <xf numFmtId="0" fontId="3" fillId="0" borderId="0" applyAlignment="1" pivotButton="0" quotePrefix="0" xfId="9">
      <alignment horizontal="left" vertical="center" wrapText="1"/>
    </xf>
    <xf numFmtId="0" fontId="32" fillId="0" borderId="10" applyAlignment="1" pivotButton="0" quotePrefix="0" xfId="9">
      <alignment horizontal="left" vertical="center" wrapText="1"/>
    </xf>
    <xf numFmtId="0" fontId="41" fillId="15" borderId="10" applyAlignment="1" pivotButton="0" quotePrefix="0" xfId="8">
      <alignment horizontal="left" vertical="center" wrapText="1"/>
    </xf>
    <xf numFmtId="0" fontId="3" fillId="0" borderId="10" applyAlignment="1" pivotButton="0" quotePrefix="0" xfId="9">
      <alignment horizontal="left" vertical="center" wrapText="1"/>
    </xf>
    <xf numFmtId="164" fontId="3" fillId="0" borderId="0" applyAlignment="1" pivotButton="0" quotePrefix="0" xfId="8">
      <alignment horizontal="left" vertical="center" wrapText="1"/>
    </xf>
    <xf numFmtId="0" fontId="2" fillId="0" borderId="0" applyAlignment="1" pivotButton="0" quotePrefix="0" xfId="8">
      <alignment horizontal="left" vertical="center" wrapText="1"/>
    </xf>
    <xf numFmtId="0" fontId="45" fillId="21" borderId="13" pivotButton="0" quotePrefix="0" xfId="0"/>
    <xf numFmtId="0" fontId="45" fillId="21" borderId="0" pivotButton="0" quotePrefix="0" xfId="0"/>
    <xf numFmtId="0" fontId="44" fillId="21" borderId="0" applyAlignment="1" pivotButton="0" quotePrefix="0" xfId="0">
      <alignment vertical="top"/>
    </xf>
    <xf numFmtId="0" fontId="43" fillId="20" borderId="14" applyAlignment="1" pivotButton="0" quotePrefix="0" xfId="0">
      <alignment vertical="top" wrapText="1"/>
    </xf>
    <xf numFmtId="0" fontId="43" fillId="20" borderId="15" applyAlignment="1" pivotButton="0" quotePrefix="0" xfId="0">
      <alignment vertical="top" wrapText="1"/>
    </xf>
    <xf numFmtId="0" fontId="32" fillId="0" borderId="16" applyAlignment="1" pivotButton="0" quotePrefix="0" xfId="0">
      <alignment horizontal="left" vertical="top"/>
    </xf>
    <xf numFmtId="165" fontId="32" fillId="0" borderId="16" applyAlignment="1" pivotButton="0" quotePrefix="0" xfId="0">
      <alignment vertical="top"/>
    </xf>
    <xf numFmtId="0" fontId="0" fillId="0" borderId="0" applyAlignment="1" pivotButton="0" quotePrefix="0" xfId="0">
      <alignment horizontal="left" vertical="top" wrapText="1"/>
    </xf>
    <xf numFmtId="0" fontId="32" fillId="3" borderId="16" applyAlignment="1" pivotButton="0" quotePrefix="0" xfId="0">
      <alignment horizontal="left" vertical="top"/>
    </xf>
    <xf numFmtId="0" fontId="0" fillId="0" borderId="0" applyAlignment="1" pivotButton="0" quotePrefix="0" xfId="0">
      <alignment vertical="center" wrapText="1"/>
    </xf>
    <xf numFmtId="0" fontId="27" fillId="13" borderId="6" applyAlignment="1" pivotButton="0" quotePrefix="0" xfId="8">
      <alignment vertical="center" wrapText="1"/>
    </xf>
    <xf numFmtId="0" fontId="27" fillId="13" borderId="6" applyAlignment="1" pivotButton="0" quotePrefix="0" xfId="8">
      <alignment vertical="center"/>
    </xf>
    <xf numFmtId="0" fontId="0" fillId="0" borderId="17" pivotButton="0" quotePrefix="0" xfId="0"/>
    <xf numFmtId="0" fontId="0" fillId="0" borderId="18" pivotButton="0" quotePrefix="0" xfId="0"/>
    <xf numFmtId="0" fontId="0" fillId="0" borderId="19" pivotButton="0" quotePrefix="0" xfId="0"/>
    <xf numFmtId="0" fontId="0" fillId="0" borderId="17" pivotButton="1" quotePrefix="0" xfId="0"/>
    <xf numFmtId="0" fontId="0" fillId="0" borderId="20" pivotButton="0" quotePrefix="0" xfId="0"/>
    <xf numFmtId="0" fontId="0" fillId="0" borderId="21" pivotButton="0" quotePrefix="0" xfId="0"/>
    <xf numFmtId="0" fontId="0" fillId="0" borderId="22" pivotButton="1" quotePrefix="0" xfId="0"/>
    <xf numFmtId="0" fontId="0" fillId="0" borderId="22" pivotButton="0" quotePrefix="0" xfId="0"/>
    <xf numFmtId="0" fontId="0" fillId="0" borderId="23" pivotButton="0" quotePrefix="0" xfId="0"/>
    <xf numFmtId="0" fontId="2" fillId="0" borderId="0" applyAlignment="1" pivotButton="0" quotePrefix="0" xfId="7">
      <alignment vertical="top" wrapText="1"/>
    </xf>
    <xf numFmtId="0" fontId="2" fillId="0" borderId="0" applyAlignment="1" pivotButton="0" quotePrefix="0" xfId="7">
      <alignment wrapText="1"/>
    </xf>
    <xf numFmtId="0" fontId="28" fillId="13" borderId="8" applyAlignment="1" pivotButton="0" quotePrefix="0" xfId="8">
      <alignment horizontal="left" vertical="center" wrapText="1"/>
    </xf>
    <xf numFmtId="0" fontId="0" fillId="0" borderId="8" pivotButton="0" quotePrefix="0" xfId="0"/>
    <xf numFmtId="0" fontId="28" fillId="13" borderId="6" applyAlignment="1" pivotButton="0" quotePrefix="0" xfId="8">
      <alignment horizontal="left" vertical="center" wrapText="1"/>
    </xf>
    <xf numFmtId="0" fontId="27" fillId="13" borderId="6" applyAlignment="1" pivotButton="0" quotePrefix="0" xfId="8">
      <alignment horizontal="left" vertical="center" wrapText="1"/>
    </xf>
    <xf numFmtId="0" fontId="0" fillId="0" borderId="13" pivotButton="0" quotePrefix="0" xfId="0"/>
    <xf numFmtId="0" fontId="0" fillId="0" borderId="7" pivotButton="0" quotePrefix="0" xfId="0"/>
    <xf numFmtId="0" fontId="11" fillId="0" borderId="0" applyAlignment="1" pivotButton="0" quotePrefix="0" xfId="0">
      <alignment horizontal="center" vertical="center" wrapText="1" readingOrder="1"/>
    </xf>
    <xf numFmtId="0" fontId="0" fillId="0" borderId="0" pivotButton="0" quotePrefix="0" xfId="0"/>
    <xf numFmtId="0" fontId="0" fillId="0" borderId="0" applyAlignment="1" pivotButton="0" quotePrefix="0" xfId="0">
      <alignment horizontal="center" vertical="center"/>
    </xf>
    <xf numFmtId="0" fontId="8" fillId="0" borderId="0" applyAlignment="1" pivotButton="0" quotePrefix="0" xfId="0">
      <alignment horizontal="left" vertical="center" wrapText="1" readingOrder="1"/>
    </xf>
    <xf numFmtId="0" fontId="0" fillId="0" borderId="0" applyAlignment="1" pivotButton="0" quotePrefix="0" xfId="0">
      <alignment horizontal="left"/>
    </xf>
    <xf numFmtId="0" fontId="13" fillId="0" borderId="0" applyAlignment="1" pivotButton="0" quotePrefix="0" xfId="0">
      <alignment horizontal="left" vertical="center" wrapText="1"/>
    </xf>
    <xf numFmtId="0" fontId="9" fillId="0" borderId="0" applyAlignment="1" pivotButton="0" quotePrefix="0" xfId="0">
      <alignment horizontal="left" vertical="center" wrapText="1" readingOrder="1"/>
    </xf>
    <xf numFmtId="0" fontId="0" fillId="0" borderId="0" applyAlignment="1" pivotButton="0" quotePrefix="0" xfId="0">
      <alignment wrapText="1"/>
    </xf>
    <xf numFmtId="0" fontId="0" fillId="0" borderId="0" applyAlignment="1" pivotButton="0" quotePrefix="0" xfId="0">
      <alignment horizontal="center" vertical="center" wrapText="1"/>
    </xf>
    <xf numFmtId="0" fontId="12" fillId="0" borderId="0" applyAlignment="1" pivotButton="0" quotePrefix="0" xfId="0">
      <alignment horizontal="left" vertical="center" wrapText="1"/>
    </xf>
    <xf numFmtId="0" fontId="8" fillId="0" borderId="0" applyAlignment="1" pivotButton="0" quotePrefix="0" xfId="0">
      <alignment horizontal="center" vertical="center" wrapText="1" readingOrder="1"/>
    </xf>
    <xf numFmtId="0" fontId="15" fillId="0" borderId="0" applyAlignment="1" pivotButton="0" quotePrefix="0" xfId="0">
      <alignment horizontal="left" vertical="center" wrapText="1" readingOrder="1"/>
    </xf>
    <xf numFmtId="0" fontId="0" fillId="0" borderId="0" applyAlignment="1" pivotButton="0" quotePrefix="0" xfId="0">
      <alignment vertical="center"/>
    </xf>
    <xf numFmtId="0" fontId="16" fillId="0" borderId="0" applyAlignment="1" pivotButton="0" quotePrefix="0" xfId="0">
      <alignment horizontal="left" vertical="center" wrapText="1" readingOrder="1"/>
    </xf>
    <xf numFmtId="0" fontId="13" fillId="0" borderId="0" applyAlignment="1" pivotButton="0" quotePrefix="0" xfId="0">
      <alignment horizontal="left" wrapText="1"/>
    </xf>
    <xf numFmtId="0" fontId="18" fillId="0" borderId="0" applyAlignment="1" pivotButton="0" quotePrefix="0" xfId="0">
      <alignment horizontal="left" vertical="center" wrapText="1" readingOrder="1"/>
    </xf>
  </cellXfs>
  <cellStyles count="10">
    <cellStyle name="Normal" xfId="0" builtinId="0"/>
    <cellStyle name="Normal 2" xfId="1"/>
    <cellStyle name="Good 2" xfId="2"/>
    <cellStyle name="Verified" xfId="3"/>
    <cellStyle name="Hyperlink 2" xfId="4"/>
    <cellStyle name="Bad 2" xfId="5"/>
    <cellStyle name="Neutral 2" xfId="6"/>
    <cellStyle name="Normal 3" xfId="7"/>
    <cellStyle name="Normal 2 2" xfId="8"/>
    <cellStyle name="Verified 2" xfId="9"/>
  </cellStyles>
  <dxfs count="11">
    <dxf>
      <alignment horizontal="general" vertical="top" wrapText="1"/>
    </dxf>
    <dxf>
      <alignment horizontal="general" vertical="top" wrapText="1"/>
    </dxf>
    <dxf>
      <alignment horizontal="general" vertical="top" wrapText="1"/>
    </dxf>
    <dxf>
      <font>
        <b val="1"/>
        <color rgb="FFFFFFFF"/>
      </font>
      <fill>
        <patternFill patternType="solid">
          <fgColor indexed="64"/>
          <bgColor rgb="FF1F4E78"/>
        </patternFill>
      </fill>
      <alignment horizontal="general" vertical="top" wrapText="1"/>
    </dxf>
    <dxf>
      <fill>
        <patternFill patternType="lightUp">
          <fgColor auto="1"/>
          <bgColor theme="9" tint="0.7999816888943144"/>
        </patternFill>
      </fill>
    </dxf>
    <dxf>
      <fill>
        <patternFill>
          <bgColor theme="6"/>
        </patternFill>
      </fill>
    </dxf>
    <dxf>
      <font>
        <color theme="0"/>
      </font>
      <fill>
        <patternFill>
          <bgColor theme="1"/>
        </patternFill>
      </fill>
    </dxf>
    <dxf>
      <font>
        <color theme="0"/>
      </font>
      <fill>
        <patternFill>
          <bgColor theme="1"/>
        </patternFill>
      </fill>
    </dxf>
    <dxf>
      <fill>
        <patternFill>
          <bgColor theme="7" tint="0.7999816888943144"/>
        </patternFill>
      </fill>
    </dxf>
    <dxf>
      <fill>
        <patternFill>
          <bgColor theme="9" tint="0.7999816888943144"/>
        </patternFill>
      </fill>
    </dxf>
    <dxf>
      <fill>
        <patternFill>
          <bgColor them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pivotCacheDefinition" Target="/xl/pivotCache/pivotCacheDefinition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Patange, Rajesh</author>
  </authors>
  <commentList>
    <comment ref="W2" authorId="0" shapeId="0">
      <text>
        <t xml:space="preserve">Patange, Rajesh:
</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pelbaum, Len" refreshedDate="46188.74535162037" createdVersion="8" refreshedVersion="8" minRefreshableVersion="3" recordCount="690" r:id="rId1">
  <cacheSource type="worksheet">
    <worksheetSource ref="B2:AB692" sheet="Global Inv - Mar 2026 (2)"/>
  </cacheSource>
  <cacheFields count="26">
    <cacheField name="Application" uniqueList="1" numFmtId="0" sqlType="0" hierarchy="0" level="0" databaseField="1">
      <sharedItems count="651">
        <s v="(SAP) - Business Planning and Consolidation (BPC)"/>
        <s v="109 Manufacturing System (MAN)"/>
        <s v="3 of 9 Font"/>
        <s v="7-Zip (Freeware)"/>
        <s v="Acell servers"/>
        <s v="ACell.com"/>
        <s v="Active Web Monitor"/>
        <s v="Adaptive Planning"/>
        <s v="Adobe Air"/>
        <s v="Adobe Acrobat"/>
        <s v="Adobe Acrobat Pro"/>
        <s v="Adobe Acrobat Standard"/>
        <s v="Adobe Creative Cloud (CC)"/>
        <s v="Adobe Design Premium"/>
        <s v="Adobe PhotoShop"/>
        <s v="Adobe Suite Creative CS5.5 (used by Customer Service)"/>
        <s v="ADP"/>
        <s v="ADP eTime"/>
        <s v="ADP TimeManagement"/>
        <s v="Agile Product Lifecycle Management (PLM)"/>
        <s v="AGILE Proship"/>
        <s v="AgileShip"/>
        <s v="Agile UDI (Unique Device Identifier)"/>
        <s v="Agilent Resolutions Pro"/>
        <s v="Agileview"/>
        <s v="Air Gauge ???"/>
        <s v="AlertMedia"/>
        <s v="Ansure"/>
        <s v="Anvsoft Photo Slideshow Maker Platinum"/>
        <s v="App-ETL"/>
        <s v="Aquire (HR)"/>
        <s v="Aquire OrgPublisher"/>
        <s v="ARO TESTER (3)"/>
        <s v="ARS for Acell"/>
        <s v="Aruba ClearPass"/>
        <s v="Atmel AVR Studio (link goes to different version of app)"/>
        <s v="AutoCAD"/>
        <s v="AutoCad License Server for Co+A15dman Integration"/>
        <s v="AutoCAD LT"/>
        <s v="Automated Inspection and Segregation System Multivac Biopatch"/>
        <s v="Avalanche"/>
        <s v="Avaya Call Manager"/>
        <s v="Avaya IP Agent"/>
        <s v="AWForms"/>
        <s v="AWS"/>
        <s v="B.A.S.I.S. (Best Access Systems Integrated Software Solutions)"/>
        <s v="Bactiseal"/>
        <s v="Bank of America (BOA) - Oracle FTP file transfer service"/>
        <s v="BarCode Pro"/>
        <s v="Barecode Magic"/>
        <s v="Bartender"/>
        <s v="BartPE Builder"/>
        <s v="Blackberry Enterprise Server"/>
        <s v="BMI Systems"/>
        <s v="BMS/FMS System_x000a_Building management system_x000a_Factory monitoring system"/>
        <s v="Board Vantage"/>
        <s v="Bonjour"/>
        <s v="Bugzilla"/>
        <s v="Canon Uniflow"/>
        <s v="CAPE"/>
        <s v="Carbon Black"/>
        <s v="Carbon Copy Cloner"/>
        <s v="CaryWIn UV"/>
        <s v="Cash-Pro Online"/>
        <s v="Certificate Authority"/>
        <s v="CheckPoint"/>
        <s v="Cherwell Asset Management (CAM)"/>
        <s v="Chiller LYO"/>
        <s v="Chrome"/>
        <s v="Chromeleon"/>
        <s v="Cimco Edit"/>
        <s v="Cisco Access Control"/>
        <s v="Citrix"/>
        <s v="Citrix Server Sage/Misys"/>
        <s v="Citrix VDI for S&amp;N"/>
        <s v="Clindex"/>
        <s v="CMS Supervisor"/>
        <s v="Code 39 Font"/>
        <s v="CODESOFT 9"/>
        <s v="Codis Excelerator"/>
        <s v="COGNOS"/>
        <s v="Colobo"/>
        <s v="Comfio Infinite"/>
        <s v="CommValut Sever"/>
        <s v="CommVault"/>
        <s v="CommVault Backup &amp; Recovery"/>
        <s v="Compass Application"/>
        <s v="Computrac"/>
        <s v="Comsol"/>
        <s v="Concur"/>
        <s v="Console Servers"/>
        <s v="Constant Contact"/>
        <s v="Contact Center Express"/>
        <s v="ControlPoint"/>
        <s v="Corel Draw (Same as CorelDRAW Graphics Suite below)"/>
        <s v="CorelDRAW Graphics Suite"/>
        <s v="Corp Dump server"/>
        <s v="Corporate Building Control System"/>
        <s v="Corporate Minitab License Server"/>
        <s v="Corporate Phone System (duplicate with Avaya?)"/>
        <s v="Corporate SFTP Servers"/>
        <s v="CrowdStrike"/>
        <s v="Crystal Reports"/>
        <s v="Cuddon LYO"/>
        <s v="CURA"/>
        <s v="CustomBone"/>
        <s v="CVent"/>
        <s v="Cwork 2011"/>
        <s v="Cyber Metrics - Faciliworks - Calibration"/>
        <s v="CyberLink PowerDVD"/>
        <s v="Data Loss Prevention (DLP)"/>
        <s v="Data Stage"/>
        <s v="DataLoad Pro"/>
        <s v="datatrace (DataLogger)"/>
        <s v="DATEV"/>
        <s v="Definitive Healthcare"/>
        <s v="Dell OpenManage"/>
        <s v="Demand Works Smoothie"/>
        <s v="Deutshe Bank - Oracle FTP File Transfer"/>
        <s v="DHCP Server"/>
        <s v="Digital Defense"/>
        <s v="Diligent"/>
        <s v="Director's Desk"/>
        <s v="DNS Servers"/>
        <s v="Domain Controllers / nFront Password Filter"/>
        <s v="Doxygen"/>
        <s v="Dreamweaver (Adobe)"/>
        <s v="DSV WebApp"/>
        <s v="DYMO"/>
        <s v="Eagle"/>
        <s v="EAGLE VISION"/>
        <s v="Easy Label"/>
        <s v="EASY-software"/>
        <s v="EasyView"/>
        <s v="eCopy ShareScan Server"/>
        <s v="EDAX GENESIS"/>
        <s v="EDC SQL"/>
        <s v="EDGAR EASE"/>
        <s v="edl_21CFR (Datalogger also listed on row 110)"/>
        <s v="EDS-Pro"/>
        <s v="EDW - Datastage/SQL/Cognos"/>
        <s v="Egnyte Graphics Server and AD Cloud Sync"/>
        <s v="Empower"/>
        <s v="Encase Enterprise"/>
        <s v="Epicor ERP"/>
        <s v="Epicor Maintenance"/>
        <s v="Epicor Report Wizard"/>
        <s v="EQUITY EDGE ONLINE (HR stock option eTRADE)"/>
        <s v="ESAS MS ACCESS"/>
        <s v="ETAFI [Etats Financiers Financial Reports Interface - J.D. Edwards (for France) or Enterprise Test Automation Framework integrated]"/>
        <s v="Ethics Point"/>
        <s v="ETQ (active) and Surgisoft (retired ?)"/>
        <s v="ETQ and Surgisoft"/>
        <s v="European Pharmacopoia (https://pheur.edqm.eu)"/>
        <s v="Eurydice"/>
        <s v="Exact Globe"/>
        <s v="Excel LTR Application"/>
        <s v="Exchange"/>
        <s v="Exchange 2003"/>
        <s v="ExpenseWatch"/>
        <s v="Facili Works"/>
        <s v="FedEX Ship manager"/>
        <s v="File Director"/>
        <s v="File Server"/>
        <s v="FileMaker"/>
        <s v="FINANCE PLUS"/>
        <s v="FitAsset"/>
        <s v="Five9"/>
        <s v="Flir"/>
        <s v="FloEFD"/>
        <s v="Fortres 101"/>
        <s v="Fortress"/>
        <s v="FSE UDI"/>
        <s v="FTP / GMP"/>
        <s v="Gagepack"/>
        <s v="Gage-X"/>
        <s v="GE PLC (Professional Logic Developer? Also Fanuc, Versamax?)"/>
        <s v="GENESIS SPECTRUM (Spectrum Match)"/>
        <s v="GHX (EDI)"/>
        <s v="GHX Health Connexion"/>
        <s v="GibbsCAM 2011"/>
        <s v="GIMP"/>
        <s v="GIOS Call Accoutant"/>
        <s v="Google Earth"/>
        <s v="GotoMeeting"/>
        <s v="Govt Regulatory &amp; Compliance (GRC)"/>
        <s v="Graphite 2D/3D"/>
        <s v="Graph Pad"/>
        <s v="Gravograph/GravoStyle"/>
        <s v="Growth Power"/>
        <s v="Halogen"/>
        <s v="Helios"/>
        <s v="HR TRAINING PROGRAM"/>
        <s v="HRIS/Resume Mirror Production"/>
        <s v="Hyperion"/>
        <s v="Hyperion Financial management"/>
        <s v="Hyperion SmartView"/>
        <s v="Hypershot Pro"/>
        <s v="IAR System Embedded Workbench"/>
        <s v="IBM Federation Server"/>
        <s v="IBM InfoSphere Discovery"/>
        <s v="IBM InfoSphere Engine"/>
        <s v="IBM InfoSphere Optim"/>
        <s v="IBM Maximo Asset Management"/>
        <s v="ICARE"/>
        <s v="iCIMS"/>
        <s v="iCoach"/>
        <s v="IDEP/CN8 - DEB CR"/>
        <s v="IMAGE Macro (Internal) (Related to above)"/>
        <s v="Image Studio"/>
        <s v="ImageCraft C Compiler"/>
        <s v="ImageJ (Public Domain License-Freeware)"/>
        <s v="ImageWare"/>
        <s v="Infopath"/>
        <s v="Informatica"/>
        <s v="Infrastructure Reporting Server"/>
        <s v="InSpec"/>
        <s v="Integra App_x000a_(Integra mobile sales app)"/>
        <s v="Integra Pore Size macro- vectorized stereology (?)"/>
        <s v="Integra-iPADAPPServer-02"/>
        <s v="Integra-iPADAPPServer-Staging"/>
        <s v="Integralife"/>
        <s v="IP Agent"/>
        <s v="IP Softphone"/>
        <s v="IPAM IP Control"/>
        <s v="IPM Labeling (Access)"/>
        <s v="IQX Server"/>
        <s v="IS System Tools"/>
        <s v="IS Test Servers"/>
        <s v="Ispring (Free)"/>
        <s v="iSprint Client Update"/>
        <s v="Java Runtime Env"/>
        <s v="Java TM 6 update 24"/>
        <s v="Jitterbug"/>
        <s v="JP Morgan"/>
        <s v="K Drive"/>
        <s v="KALLIK (printing?)"/>
        <s v="Kallik (server?)"/>
        <s v="KellerOnLine"/>
        <s v="Keri"/>
        <s v="KeyScan Security Access"/>
        <s v="KISS (Kiln Interface &amp; Datalogger Software System)"/>
        <s v="KMS / RDS Licensing server"/>
        <s v="Kodak Scan Validation"/>
        <s v="Lab QA Worksheet"/>
        <s v="LabEdit"/>
        <s v="Label Gallery"/>
        <s v="LabTech"/>
        <s v="LabView"/>
        <s v="LanSweeper"/>
        <s v="Law Track"/>
        <s v="LawTrac"/>
        <s v="Leak tester (2)"/>
        <s v="Legal intellectual property management hosted by CPA Global"/>
        <s v="Legal Patent/ IPMaster"/>
        <s v="LEGITRONIC LABEL SOFTWARE- WEBBER"/>
        <s v="Lexware Personal Premium"/>
        <s v="Lexware Reisekosten"/>
        <s v="Liaison Delta &amp; ECS"/>
        <s v="LIMS"/>
        <s v="Lockbox Disk Encryption"/>
        <s v="Lockbox Server for Bank of America Check Viewing"/>
        <s v="LOFTWARE"/>
        <s v="LOTUS NOTES"/>
        <s v="LPCplus"/>
        <s v="LRN (existing)"/>
        <s v="LS 13 320 SOFTWARE"/>
        <s v="LVS"/>
        <s v="LVS 7500 Barcode Verification"/>
        <s v="LVS 95xx Barcode Verification"/>
        <s v="LYON MANAGER II"/>
        <s v="MaaS360"/>
        <s v="Malwarebytes"/>
        <s v="mamp"/>
        <s v="Manufacturing DataPro2"/>
        <s v="Master Control"/>
        <s v="MasterCAM"/>
        <s v="MATLAB"/>
        <s v="MAXIMO"/>
        <s v="Mayfield-production"/>
        <s v="MBAM"/>
        <s v="McAfee"/>
        <s v="Measulink"/>
        <s v="Merlin II PinStamp"/>
        <s v="MES"/>
        <s v="MicroLab"/>
        <s v="Microsoft Embedded Standard 7 (Image Configuration Editor)"/>
        <s v="Microsoft Project"/>
        <s v="Microsoft Skype"/>
        <s v="Microsoft SQL Server"/>
        <s v="Microsoft Visio"/>
        <s v="Microsoft Visual Studio Professional"/>
        <s v="Microsoft VS Team Foundation Server"/>
        <s v="Microsoft XP Embedded Studio/Target Designer"/>
        <s v="Millennium32"/>
        <s v="MindManager"/>
        <s v="MindManager for Teams"/>
        <s v="Model-N"/>
        <s v="Monarch"/>
        <s v="Monarch License Server"/>
        <s v="MoveMedical app"/>
        <s v="MoveMedical reporting"/>
        <s v="MOVEX"/>
        <s v="Mozilla Firefox"/>
        <s v="MP2"/>
        <s v="Multi DNC"/>
        <s v="MultiVAC Biopatch"/>
        <s v="Mutare Mirrored Messaging"/>
        <s v="MVI Training"/>
        <s v="Mysys"/>
        <s v="Nagios"/>
        <s v="NAYACT"/>
        <s v="Ncomputing"/>
        <s v="NDES server for SCEP deployment"/>
        <s v="Nessus"/>
        <s v="Netsuite"/>
        <s v="Network Policy Server"/>
        <s v="NEWMAINT"/>
        <s v="NiceLabel"/>
        <s v="Nikon Comparator"/>
        <s v="Numara"/>
        <s v="OBIEE"/>
        <s v="Observer"/>
        <s v="Office Suite"/>
        <s v="Office TimeSheet"/>
        <s v="OMNIC"/>
        <s v="One Trust"/>
        <s v="OPTI-DRY"/>
        <s v="Optim"/>
        <s v="Oracle Cloud Commerce (OCC)"/>
        <s v="Oracle Discoverer"/>
        <s v="Oracle GTM and OTM (pending go-live) Glopbal Trade Mgt; Oracle Transportation Mgt"/>
        <s v="Oracle Identity Management (OIM)"/>
        <s v="Oracle Learning Management (OLM) part of EBS"/>
        <s v="ORACLE OIM AND ESSO"/>
        <s v="Oracle Print Server"/>
        <s v="Oracle CUPS printing"/>
        <s v="ORACLE R12 EBS (Enterprise Business Systems)"/>
        <s v="OrCAD Component Information Portal (CIP) / Component Inforation System (CIS)"/>
        <s v="OUTLOOKSOFT/SAP-BPC"/>
        <s v="Paint.NET"/>
        <s v="Palo Alto Firewall VPN Service (GlobalProtect)"/>
        <s v="Palo Alto User ID Agent Server"/>
        <s v="Pano Logic Manager"/>
        <s v="Paper Port"/>
        <s v="Paragon Harddisk Manager 10"/>
        <s v="Parasoft C++ Test Pro"/>
        <s v="Parasoft Insure++"/>
        <s v="PartMaker"/>
        <s v="PCDmis"/>
        <s v="PDF Creator (Free and Pro versions available)"/>
        <s v="PDF reDirect"/>
        <s v="PDMWORKS"/>
        <s v="PEAK NET"/>
        <s v="PeopleFluent"/>
        <s v="PGP (Protiviti Governance Portal)"/>
        <s v="Photo! Editor"/>
        <s v="Photron FASTCAM Viewer"/>
        <s v="PKI SHA2"/>
        <s v="PKI Sub CA"/>
        <s v="Plan"/>
        <s v="Plaxo"/>
        <s v="PMI"/>
        <s v="Power BI"/>
        <s v="Power BI Gateway"/>
        <s v="Power BI Gateway / Power BI for Move Medical"/>
        <s v="PrimoDVD"/>
        <s v="Prisym"/>
        <s v="PRMS/AS400"/>
        <s v="Pro Cal"/>
        <s v="Pro/Intralink"/>
        <s v="Pro/Intralink (Flex LM License Server)"/>
        <s v="PRODOC98 (Jarit)"/>
        <s v="ProEngineer (NOW called Creo)"/>
        <s v="Project Server 2013"/>
        <s v="PRTG Traffic Grapher"/>
        <s v="PTC RS Designer"/>
        <s v="PTC RS Mechanica"/>
        <s v="Pyris ES"/>
        <s v="PYROS EQS"/>
        <s v="QC Pac"/>
        <s v="QCBD - Quality Collaboration by Design - Enterprise Edition"/>
        <s v="Qfind"/>
        <s v="Q-Radar"/>
        <s v="Quality Companion"/>
        <s v="Qualtrics Online Survey"/>
        <s v="Quark Express"/>
        <s v="Quark Xpress"/>
        <s v="Quest Toad"/>
        <s v="QuickBasic"/>
        <s v="QuickCheckPC"/>
        <s v="QuickTime"/>
        <s v="QV Pak"/>
        <s v="R Controller"/>
        <s v="R&amp;D Machine Learning Image analysis"/>
        <s v="Radmin"/>
        <s v="RapidSVN"/>
        <s v="Recover My Files"/>
        <s v="Remote Administrator"/>
        <s v="Renishaw Ballbar 20"/>
        <s v="Replicon"/>
        <s v="Resume mirror for HR"/>
        <s v="Returns Application"/>
        <s v="RightFax"/>
        <s v="RIMS (Integra products)"/>
        <s v="Ring Central"/>
        <s v="RODC Domain Controller"/>
        <s v="ROI"/>
        <s v="Ross ERP"/>
        <s v="Roxio Creator"/>
        <s v="RSA Envision"/>
        <s v="SABA"/>
        <s v="Sabrix (tax determination) Thompson Reuters"/>
        <s v="Sage &amp; Mysis (App/SQL DB)"/>
        <s v="SAGE 300 (formerly ACCPAC)"/>
        <s v="SAGE FixAsset"/>
        <s v="Sage HTK Etiketten"/>
        <s v="SAGE KHK OL4.2"/>
        <s v="Salesforce.com"/>
        <s v="Salto Patient Website"/>
        <s v="SAP Fieldglass"/>
        <s v="SCADA"/>
        <s v="SCADA (iFix)"/>
        <s v="SCCM"/>
        <s v="Scion Image"/>
        <s v="SCOM"/>
        <s v="SDE"/>
        <s v="SealtoHeal-04"/>
        <s v="Security Card System (Win-Pak)"/>
        <s v="Security Repository"/>
        <s v="Series IX"/>
        <s v="Service Oriented Architecture (SOA)"/>
        <s v="ServiceNow"/>
        <s v="ServiceNow - Mid Server Interface"/>
        <s v="SharePoint"/>
        <s v="Sharepoint Designer"/>
        <s v="Sharepoint online"/>
        <s v="SHAREPOINT on-prem"/>
        <s v="ShowPad Sales Enablement"/>
        <s v="SignNow"/>
        <s v="SIM Server"/>
        <s v="Simplify3d"/>
        <s v="SmartDraw"/>
        <s v="SmartSVN"/>
        <s v="SmartTrak"/>
        <s v="SMTP"/>
        <s v="SoftMax Pro 6"/>
        <s v="Software VersioN Control (SVNC)"/>
        <s v="Solarwinds"/>
        <s v="SolarWinds SQL Performance Monitor Server for EDW"/>
        <s v="Solid Works"/>
        <s v="SolidCam"/>
        <s v="SolidWorks eDrawings 2012"/>
        <s v="SolidWorks Licensing Server"/>
        <s v="Solidworks Simulation"/>
        <s v="Solium Equity Management"/>
        <s v="Soti MobiControl"/>
        <s v="Sovos"/>
        <s v="Spectroscopy Configuration Manager (SCM) Software"/>
        <s v="Spiceworks"/>
        <s v="Sprout Social"/>
        <s v="SQL Cluster - Test"/>
        <s v="Square 9"/>
        <s v="SS/BE Abile"/>
        <s v="SSRS"/>
        <s v="St. Aubin Facility Access Control"/>
        <s v="STARe"/>
        <s v="Startcite"/>
        <s v="STATGRAPHIC"/>
        <s v="SteepRock"/>
        <s v="Strategy Companion"/>
        <s v="STREAM ESSENTIALS"/>
        <s v="Subversion"/>
        <s v="SugarSync"/>
        <s v="SureThing CD Labeler"/>
        <s v="SurfCAM"/>
        <s v="Surgisoft FTP"/>
        <s v="Surveilix Central Station (Toshiba)"/>
        <s v="Survey Monkey"/>
        <s v="SVN"/>
        <s v="SVN for EDW"/>
        <s v="SwissCAM"/>
        <s v="Symantec Backup Exec"/>
        <s v="System Mechanic"/>
        <s v="TA Instrument explorer"/>
        <s v="TAP"/>
        <s v="TeamCenter"/>
        <s v="Technical Communications Suite"/>
        <s v="Test PKI Sub CA"/>
        <s v="TestWorks QT"/>
        <s v="ThreadTech"/>
        <s v="Thycotic"/>
        <s v="TightVNC"/>
        <s v="Titrator"/>
        <s v="TOTALCHROM"/>
        <s v="Trackwise"/>
        <s v="Train Track"/>
        <s v="Training Manager"/>
        <s v="Trello"/>
        <s v="UEStudio"/>
        <s v="Ultimate Zip"/>
        <s v="Uniflow"/>
        <s v="Universal Analysis 2000"/>
        <s v="Unknown"/>
        <s v="UPK SQL"/>
        <s v="UPS WorldShip"/>
        <s v="UrBackup"/>
        <s v="US Pharmacopeia"/>
        <s v="User Productivity Kit (UPK) Storage"/>
        <s v="UV WinLab"/>
        <s v="Vaisala"/>
        <s v="ValGenesis Inc."/>
        <s v="ValiMail"/>
        <s v="Varonis Datadvantage"/>
        <s v="Veeva (ETF, CTMS, and Sparks)"/>
        <s v="Vegas"/>
        <s v="Veeva RIMS (Regulatory Information Management Systems)"/>
        <s v="VLC media player 1.1.8"/>
        <s v="VMWare"/>
        <s v="WalkMe Application"/>
        <s v="Water Stystem"/>
        <s v="WDS - Windows Distribution Server"/>
        <s v="Web Filings"/>
        <s v="WinCNC 2000"/>
        <s v="Windchill (PTC, PDMLink)"/>
        <s v="Windows Update Server (WSUS)"/>
        <s v="WinDSX"/>
        <s v="WinPak"/>
        <s v="WINUV"/>
        <s v="Wonderware"/>
        <s v="WorkForce Time keeping"/>
        <s v="WorkZone"/>
        <s v="Wyatt Communications"/>
        <s v="XTM"/>
        <s v="Yokogawa Paperless Printer"/>
        <s v="YouSendIt"/>
        <s v="Zappon"/>
        <s v="Zetasizer Software"/>
        <s v="Zoom Webinar"/>
        <s v="Agiloft"/>
        <s v="AppZen"/>
        <s v="Atmosphere"/>
        <s v="AudiBoard"/>
        <s v="Axonify Smart Start"/>
        <s v="Blackline"/>
        <s v="Cybergrant"/>
        <s v="Certara Analytics"/>
        <s v="ClinCapture"/>
        <s v="Concur (SAP)"/>
        <s v="Culture Amp"/>
        <s v="Docusign"/>
        <s v="Research"/>
        <s v="Fastpath"/>
        <s v="FoxPlan"/>
        <s v="Esker"/>
        <s v="GenSight"/>
        <s v="GHX"/>
        <s v="SolidWorks"/>
        <s v="HubSpot"/>
        <s v="Creative"/>
        <s v="GRANT PLAN"/>
        <s v="Trading Partner Platform"/>
        <s v="LRN"/>
        <s v="Nyquist"/>
        <s v="eIFU Titania"/>
        <s v="OneStream"/>
        <s v="Porzio - GST"/>
        <s v="SAS"/>
        <s v="Smartsheet"/>
        <s v="Sphera"/>
        <s v="PayEQ"/>
        <s v="OneSource"/>
        <s v="Tika Mobile"/>
        <s v="Udemy"/>
        <s v="Workiva"/>
        <s v="COMPASS"/>
        <s v="ASPOSE"/>
        <s v="Auraplayer"/>
        <s v="Automation Anywhere"/>
        <s v="BlueMontain CMMS"/>
        <s v="CallTower"/>
        <s v="Alteryx"/>
        <s v="Palo Alto"/>
        <s v="Copado"/>
        <s v="EtQ"/>
        <s v="Jitterbit"/>
        <s v="Qsim"/>
        <s v="Qradar"/>
        <s v="Miro"/>
        <s v="Model N - Contract"/>
        <s v="OnePlan"/>
        <s v="OneTrust"/>
        <s v="Profisee"/>
        <s v="QAD"/>
        <s v="MAS200"/>
        <s v="Falcon Complete Flex"/>
        <s v="Proofpoint"/>
        <s v="Rapid7"/>
        <s v="Valimail Enforce"/>
        <s v="Bitsight"/>
        <s v="Trackwise Digital"/>
        <s v="SOA Suite"/>
        <s v="Tidal Enterprise Scheduler"/>
        <s v="Oracle Integration Cloud (OIC)"/>
        <s v="SHI CORP"/>
        <s v="VENDORMATE INC"/>
        <s v="Wipro Limited"/>
        <s v="INSIGHT MEDICAL CONSULTING"/>
        <s v="SYSTEMATICS LTD"/>
        <s v="CORITY SOFTWARE INC"/>
        <s v="RYAN LLC"/>
        <s v="PERSISTENT SYSTEMS LTD"/>
        <s v="OT TECHNOLOGY INC"/>
        <s v="COMPUTER INTEGRATION OF QUALITY ASSURANCE INC"/>
        <s v="ACUITYMD INC"/>
        <s v="US DATA MANAGEMENT LLC"/>
        <s v="TEGRA ANALYTICS LLC"/>
        <s v="3 H TECHNOLOGY INSTITUTE LLC"/>
        <s v="ANYWARE E COMMERCE LTD"/>
        <s v="NTT Data Enterprise"/>
        <s v="GREENLIGHT GURU"/>
        <s v="ASSOCIATION FOR ADVANCING TISSUE AND BIOLOGICS"/>
        <s v="IRON MONTAIN"/>
        <s v="OFFICESPACE SOFTWARE"/>
        <s v="DEFMACRO SOFTWARE PRIVATE LTD"/>
        <s v="CNC SOFTWARE LLC MASTERCAM"/>
        <s v="MEDPRO SYSTEMS LLC"/>
        <s v="FINIT SOLUTIONS"/>
        <s v="TESISQUARE S P A"/>
        <s v="HONEYCOMB SOLUTIONS"/>
        <s v="VISIONICE GMBH"/>
        <s v="上海夏焱电子科技有限公司"/>
        <s v="HOHENFORST MACHINERY CO"/>
        <s v="THT LTD"/>
        <s v="富士ﾌｲﾙﾑﾋﾞｼﾞﾈｽｲﾉﾍﾞ-ｼｮﾝ株式会社"/>
        <s v="NISHA PRO SOFTWARE CONSULTANTS LTD"/>
        <s v="DUN AND BRADSTREET"/>
        <s v="PARALLEL SYSTEMS LIMITED"/>
        <s v="TRADE TECHNOLOGIES INC"/>
        <s v="EUROPHARMATIC SAS"/>
        <s v="RESEARCH APPLICATION AND FINANCIAL TRACKING INC"/>
        <s v="上海联诺信息技术有限公司"/>
        <s v="CSC CONSULTING INC"/>
        <s v="GRAND VIEW RESEARCH INC"/>
        <s v="PRICEWATERHOUSECOOPERS LTD"/>
        <s v="DRAGER SCHWEIZ AG"/>
        <s v="上海爱信诺航天信息有限公司"/>
        <s v="EBSCO INFORMATION SERVICES"/>
        <s v="BACILE SALVATORE"/>
        <s v="M K INFOSOLUTIONS"/>
        <s v="BUSINESS LOGICS GMBH"/>
      </sharedItems>
    </cacheField>
    <cacheField name="Description &amp; Additional Notes" uniqueList="1" numFmtId="0" sqlType="0" hierarchy="0" level="0" databaseField="1">
      <sharedItems count="395" containsBlank="1" longText="1">
        <s v="Utilized for financial management, reporting, budgeting and forecasting. About ~75 users currently use BPC._x000a_The reporting output of the tool is used outside of Finance, including the ELT."/>
        <s v="Manufacturing software in NJ"/>
        <s v="Part of desktop image-Barcode fonts"/>
        <s v="7-Zip is a file archiver with a high compression ratio."/>
        <s v="Business critical for the Acell operations"/>
        <s v="Medical application"/>
        <m/>
        <s v="Financial, workforce and sales planning"/>
        <s v="for building desktop applications and mobile applications, programmed using Adobe Animate, ActionScript, and optionally Apache Flex"/>
        <s v="PDF editor/ Document editing"/>
        <s v="6/16/21: In use? Desktop application for PDF files"/>
        <s v="create, edit, sign, and track your PDF files"/>
        <s v="Desktop application for PDF files"/>
        <s v="Marked for deletetion- Desktop application for PDF files"/>
        <s v="Global application that includes all employee information and can trarnsmit data across borders."/>
        <s v="Time keeping system that tracks all hourly employee time. System also tracks PTO."/>
        <s v="Time management system that includes employee data such as name, address, time off, PTO balances, etc."/>
        <s v="Quality document system / Change Management tool"/>
        <s v="Used to calculate shipping integrating into Oracle for sales order processing. Print product shipping labels"/>
        <s v="Shipping software the prints labels for shipments to customers."/>
        <s v="Tolerance during the weekend and after working hours._x000a_Negotiate with business._x000a_Final step in registering products in the US._x000a_Note this shares some space with the Trackwise MDR connector."/>
        <s v="R&amp;D application that houses study results without patient or sensitive information."/>
        <s v="Shipping software used to ship products to customer. Includes customer data."/>
        <s v="Device record management system"/>
        <s v="Emergency communication system"/>
        <s v="Temperature measurement"/>
        <s v="ETL tool for Oracle/ Agile integration team. DataStage, to be updated to Data Factory (and retire this app)."/>
        <s v="ETL tool for Oracle/ Agile integration team. This app includes Datafactory, Azure SQL, and Azure blob storage platform services._x000a_Resource library: https://integralife.sharepoint.com/sites/Azure/AppETL/Forms/AllItems.aspx"/>
        <s v="Application Tracking Software (ATS), onboarding document management, https://acquiretm.com/"/>
        <s v="Manufacturing software in PR"/>
        <s v="For wireless authentication"/>
        <s v="R&amp;D Software"/>
        <s v="Seen on many active machines in LS_x000a_6/16/21: in use? Check version"/>
        <s v="Marked for deletetion"/>
        <s v="Able to tolerate longer downtime off hours."/>
        <s v="Prototype drafting for products. Includes engineering designs and drawings."/>
        <s v="Manufacturing application"/>
        <s v="Manage all handheld scanners globally at the manufacturing and warehouse sites."/>
        <s v="IP Agent integrates a flexible IP softphone client with a SIP/SIMPLE-based Instant Messaging (IM) client."/>
        <s v="Collaboration software"/>
        <s v="Present a business case, about Bactiseal product, to a customer according to their local metrics such as number of patients, etc… The outcome of this business case is presenting the benefits of having Bactiseal instead of any other product (savings, infections avoided,…)_x000a_Resource Library: https://integralife.sharepoint.com/sites/Azure/Bactiseal/Forms/AllItems.aspx"/>
        <s v="Processes customer payments and includes customer banking information. Need to confirm how many customers are EMEA."/>
        <s v="Product Barcode"/>
        <s v="Product Labeling"/>
        <s v="connects to messaging and collaboration software (Microsoft Exchange, Lotus Domino, Novell GroupWise) on enterprise networks and redirects emails, and synchronizes contacts and calendaring information between servers, desktop workstations, and mobile devices"/>
        <s v="French Sunshine Act System"/>
        <s v="BMS - Used to managed HAVC system and utilities in building 109._x000a_FMS - Monitoring and storing data for environmental temperature and pressure (GMP)."/>
        <s v="document management"/>
        <s v="For Apple products; network tool"/>
        <s v="Anomaly and issue tracker used by local PD during development"/>
        <s v="Canon products (printers, scanners) output management"/>
        <s v="Operator Training and Logic Validation"/>
        <s v="Carbon Black Enterprise EDR is an advanced threat hunting and incident response solution delivering continuous visibility for top security operations centers (SOCs) and incident response (IR) teams."/>
        <s v="digital platform for payments, receipts, liquidity, investments, FX and trade"/>
        <s v="On prem Windows Certificate server to generate Authentication Certificates and/or Cert functions"/>
        <s v="hardware and software products for IT security, including network security, endpoint security, cloud security, mobile security, data security and security management"/>
        <s v="Software asset management tool"/>
        <s v="Web browser used by employees"/>
        <s v="Software that houses product drawings and designs"/>
        <s v="Expect to be decomissioned in 2019. Dependent on the wireless scanners certificate based project. Used for wireless authentication"/>
        <s v="Minimum impact during the weekend."/>
        <s v="Remote Desktop servers for RDS Farm servers. Multiple consultants utilize this remotely VIA citrix. Hosts many applications for development between multiple projects"/>
        <s v="Business critical until TSA exits. For virtual desktop for Smith &amp; Nephew users to access Integra applications and systems from S&amp;N laptops and network. Resource library: https://integralife.sharepoint.com/sites/Azure/VDI/Forms/AllItems.aspx"/>
        <s v="Call Management System Supervisor"/>
        <s v="Generates bar codes. Seen on one active machine in LS"/>
        <s v="Japan Marketing Website"/>
        <s v="CommVault?"/>
        <s v="Plainsboro Backup Solution - Comprised of 4 servers"/>
        <s v="Compass is a FileMaker database storing information about contracts in order to fill gaps in reporting and customer service found in Model-N."/>
        <s v="does not yet include reciept images"/>
        <s v="Microsoft server operating systems that are used by users with administrative or elevated permissions to perform related tasks. They are not an application."/>
        <s v="Marketing"/>
        <s v="Not an application, but holds app install files."/>
        <s v="Used to control and monitor HVAC system on buildings 311/313/315/104."/>
        <s v="Voice communication"/>
        <s v="Internal and External servers supporting multiple transfers of data for different projects and tasks. Minimum impact during the weekend."/>
        <s v="3D printer software"/>
        <s v="Virtual event management"/>
        <s v="update to the popular PowerDVD series with support for DVD playback, including all of the codecs Windows requires to play DVD"/>
        <s v="Used to monitor and track the flow of sensitive/confidential data. Mainly used for GDPR. Active, but will be replaced by Casb"/>
        <s v="Tool to batch load data into Oracle"/>
        <s v="transforms data, analytics and expertise into healthcare commercial intelligence"/>
        <s v="Dell Openmange server to support Dell hardware (servers)"/>
        <s v="Extract data from Oracle to load into Demand Works for demand planning."/>
        <s v="Minimum impact during the weekend. Not an application. Pair of servers that host various DHCP segments in Corp"/>
        <s v="SaaS Solution 0 External Vulnerability scanner"/>
        <s v="DNS server available at Cinci as failover. Not an application. Comprised of 2 internal and 1 external server(s) for name resolution"/>
        <s v="nFront Password Filter is a password policy enforcement tool for Windows Active Directory that allows up to 10 different password policies in the same Windows domain. Each password policy has many granular settings and can be associated with one or more global or universal security groups."/>
        <s v="Tool to extract documentation from keywords in source code files"/>
        <s v="Related to CAD"/>
        <s v="Microscope software"/>
        <s v="Server for corp ShareScan function"/>
        <s v="Resource library: https://integralife.sharepoint.com/sites/Azure/EDW/Forms/AllItems.aspx"/>
        <s v="Global graphics artwork server. Archive for all promotional and label artwork, and enable share environment. The Graphics will be working on a very critical project supporting Codman labeling in Q2-Q3, they request that the on-prem servers are up and running no later than Tuesday if we relocate the servers to the new data center"/>
        <s v="Forensic system software"/>
        <s v="enterprise resource planning (ERP) system"/>
        <s v="Enterprise mantainence management"/>
        <s v="financial records?"/>
        <s v="Mythili not responding"/>
        <s v="This data is historical data from J&amp;J CODMAN ETQ application. This data will be used for doing analysis and respond to any audit requirement. host and report Surgisoft historical data"/>
        <s v="Major regional pharmacopoeia which provides common quality standards throughout the pharmaceutical industry in Europe to control the quality of medicines, and the substances used to manufacture them."/>
        <s v="Finance and ERP (enterprise resourse planning) software"/>
        <s v="Relay server on Prem - for Oracle primarly. Minimum impact during the weekend."/>
        <s v="collection of applications that enable digital messaging and collaboration in an enterprise IT environment."/>
        <s v="modules for Expense Reports, Purchasing and Payable Invoices"/>
        <s v="Shipping"/>
        <s v="OneDrive duplicate?"/>
        <s v="Not an application."/>
        <s v="Minimum impact during the weekend. Not an application."/>
        <s v="Old Australia &amp; New Zealand financial system, replaced by Oracle"/>
        <s v="A proposed solution is to move to VRTX in B109. Isolated server._x000a_Server name application comment_x000a_US311FTP007 B105 Chart Recorders DATA Migrate to B109 Dell Vortex VM servers (tunneling between VILAN74 and VILAN 75)"/>
        <s v="CAD"/>
        <s v="GNU Image Manipulation Program: cross-platform image editor"/>
        <s v="Global mapping system"/>
        <s v="web meeting"/>
        <s v="A versatile statistics tool purpose-built for scientists-not statisticians.Generates publication quality graphs and figures"/>
        <s v="Data migration?"/>
        <s v="Hiring and recruiting software/ LMS (Learning Management System)"/>
        <s v="See &quot;Resume mirror for HR&quot;"/>
        <s v="Work consolidation tool for financial reporting for global consolidation for purposes of reporting quarterly and annual results. In the form of the 10Q and 10K. Gets information from Oracle and Movex, and feeds into BPC. 5/10/2023: We will be converting our BPC and Hyperion applications to OneStream (not Oracle). The project is set to kick off over the next few weeks, and currently anticipated to go live in Q1 2024."/>
        <s v="Cross-compiler for firmware that runs on microcontrollers in devices"/>
        <s v="Data Archiving"/>
        <s v="Investigate, Cleanse, and Manage Data"/>
        <s v="Not for production, for building and equipment assets, it is a repository for maintenance records. Currently running on an old server OS. If moved, then it might require to be upgraded by IBM to support new OS."/>
        <s v="iCoach is a field sales coaching and development system and app. Not a learning management tool, not part of the LMS/ Saba system."/>
        <s v="application for designing, distributing, filling and submitting electronic forms containing structured data"/>
        <s v="Enterprise Cloud Data Management"/>
        <s v="(US311TSQ100) The Asset Management Tool for the GAC will be decommissioned some time in this quarter when Asset in ServiceNow goes live."/>
        <s v="Quality measurement"/>
        <s v="Integra mobile sales application used by sales team, marketing, and customer service._x000a_Resource Library: https://integralife.sharepoint.com/sites/Azure/Integra%20Mobile%20Sales%20App/Forms/AllItems.aspx"/>
        <s v="Web server managed by Corporate Marketing group"/>
        <s v="Server for IP addressing database"/>
        <s v="Decommissioned since SLC is on Oracle now?"/>
        <s v="Pricing quote website hosting server - Used by Instruments division"/>
        <s v="Remove?"/>
        <s v="Company main file server"/>
        <s v="US software for product labels and marketing promotional material"/>
        <s v="Managed by Kallik._x000a_US311KAL100- (Just the proxy server) Kallik is located on the cloud._x000a_US311KAL001- Used to connect the on-prem printers to Kallik cloud."/>
        <s v="Workplace Health &amp; Safety Management System"/>
        <s v="Access control/ integrated seurity system"/>
        <s v="Scan Validation Tool allows you to verify scanner functionality using both the TWAIN Datasource and the ISIS Driver"/>
        <s v="Managed Service tool for remote monitoring, management, and automation in a lab"/>
        <s v="Asset Management"/>
        <s v="Records management and court system (?) http://www.lawtrak.com/"/>
        <s v="LawTrac is hosted by Mitratech. The Integra database is currently: 1487.38 MB; The application file are currently: 346 MB; The Briefs directory (Documents) are currently: 127 GB"/>
        <s v="It is a cloud-based application hosted by the external vendor CPA Global. Legal uses two software applications for intellectual property management hosted by CPA Global, FoundationIP IP management software and First-To-File file management software. The size of documents within First-To-File file management software:Patents - ~41,000 total documents, 17.0 GB;_x0009_Trademarks - ~9,000 total documents, 7.0 GB; Other Matters - ~1,000 total documents, 1.1 GB"/>
        <s v="business operations integration"/>
        <s v="Labratory Information Management System"/>
        <s v="All sales in the US paid by checks are sent to BoA to our Integra lockbox. This server runs a job that pulls the data from BoA daily and feeds into Oracle. Jobs run around 2am EST (verify job schedule)._x000a_If the system is down during the weekend, it will not have a business impact._x000a_Maximum of 16-20hrs of downtime can be tolerated, not 24 hrs."/>
        <s v="Printing WIP and finished goods labelling._x000a_US311LOFTST001 - Production_x000a_US311LOFPRD001_x000a_US311LOFQA001_x000a_US311LOF002"/>
        <s v="the Integra data hosted on LRN is very small. the SOP trainng documents are stored on SharePoint"/>
        <s v="management of BYOD and enterprise-issued devices, including smartphones, tablets, and laptops"/>
        <s v="Internet security software"/>
        <s v="Used for TOC (total organic carbon - water testing) and conductivity testing on instruments. DataPro2 is the software that performs the testing._x000a_A proposed solution is to move to VRTX in B109. No changes planned for this software. It was recently upgraded._x000a_Server name application comment_x000a_US311GDP001 B105 QC Lab, TOC instruments, SQL DB Migrate to B109 Dell Vortex VM servers (tunneling between VILAN74 and VILAN 75)"/>
        <s v="Automate and manage all critical compliance, product design and quality event documents from every point along the product lifecycle"/>
        <s v="cloud-based Enterprise Asset Management (EAM) and computerized maintenance management system (CMMS) software suite.  Serves as a centralized platform designed to help asset-intensive organizations track, monitor, and manage their physical assets"/>
        <s v="Microsoft Bitlocker and Administration Monitoring. The management of Bitlocker. Minimum impact during the weekend."/>
        <s v="Security Software"/>
        <s v="LOT code etcher for parts"/>
        <s v="Custom software used for Rework orders in MFG. Active but only using Rework Order module"/>
        <s v="Diagram/ Flowchart tool used by some employees"/>
        <s v="Compiler for software that controls some devices"/>
        <s v="SQL Server is used for Read Only Queries of Model N Data_x000a_on-prem reporting server"/>
        <s v="some of that storage represents internal tables containing activity logs and other operational data._x000a_3rd party app used by sales."/>
        <s v="From Vince: E302 MoveMedical app is our consignment inventory SaaS application. Because it lacks rich reporting UI, we built our own MoveMedical reporting app on Azure that pulls the MoveMedical into Azure SQL and run reporting with PowerBI._x000a_Resource Library: https://integralife.sharepoint.com/sites/Azure/MoveMedical/Forms/AllItems.aspx"/>
        <s v="Internet browser"/>
        <s v="Manufacturing Software- Send/Receive MFG jobs to CNC machines"/>
        <s v="Voice Mail back-up/duplicated servers."/>
        <s v="Training tool (in German?)"/>
        <s v="No longer used but server it runs on is active for historical data"/>
        <s v="monitoring and alerting service for systems, networks and infrastructure"/>
        <s v="French Sunshine Act solution"/>
        <s v="Desktop virtulization"/>
        <s v="NDES Server for MDM enrollment. Used to issue mobile devices certificate."/>
        <s v="Internal vulnerability scanning"/>
        <s v="manage business finances, operations, and customer relations"/>
        <s v="RADIUS Server for MFA Authentication (Citrix, Palo Alto)"/>
        <s v="Compliance Comment 5.12.2022: Validation work done however it was never implemented due to a recall."/>
        <s v="IT service/asset management portfolio"/>
        <s v="light scattering instrumentation and software for process monitoring and control"/>
        <s v="New Oracle modules that will manage the global trade program for international shipments. These modules will be implemented in mid-2021"/>
        <s v="Learning tool used by Quality to track employee training. part of EBS. Will be replaced by Saba but it is not complete as of this time. Active as of Mar 14, 2022"/>
        <s v="ESSO connector server on-prem; OIM in OCI"/>
        <s v="US311PRN004 and US311PRN005 back up to each other for server redundancy. In case of server failure, we manually fail over to the other server. The firewall opens the network connection (LPD) from Oracle EBS servers to the print servers."/>
        <s v="Deployed to all sites except Lyon, France; Boston, MA; Salt Lake City, UT. EBS"/>
        <s v="image and photo editing software"/>
        <s v="Used to gather user login information"/>
        <s v="&quot;central component of the Pano System architecture, connecting and managing Pano users, desktop virtual machines (DVMs), user- and device-based DVM Collections, and both Pano zero clients and the Pano Remote keys._x000a_It provides a unified web-based management front-end, accessible from any web browser&quot;"/>
        <s v="PDF creator"/>
        <s v="•_x0009_TEST Site:_x000a_DB Size: 11gb_x000a_File Service Size: 355m_x000a_•_x0009_PROD Site:_x000a_DB Size: 24gb_x000a_File Service Size: 1.5g"/>
        <s v="Used for SOX compliance, contains controls, documentation, testing results, and remediation. Document repository for SOX."/>
        <s v="?"/>
        <s v="Online address book- now defunct?"/>
        <s v="Power BI Reporting on consignment data from Move Medical"/>
        <s v="reporting Power BI Reporting on consignment data from Move Medical. Updated Mar 3, 2022 via Amit Singhal._x000a_May 2022: removed and interdependency listed under MoveMedical and Power BI"/>
        <s v="retired?"/>
        <s v="monitor and classify system conditions like bandwidth usage or uptime and collect statistics from miscellaneous hosts as switches, routers, servers and other devices and applications"/>
        <s v="Quality control tool to filfill regulatory requirements"/>
        <s v="Hadoop platform consolidates data from Kallik, Agile, EBS, and Integra App (Integra product catalog)."/>
        <s v="Monitors for security events on all network devices."/>
        <s v="Experience management/ feedback"/>
        <s v="multimedia application"/>
        <s v="Platform service for R&amp;D Product Development Data, hosted by Azure. We license through Deep Cell Segmentation (DCS) labs_x000a_https://integralife.sharepoint.com/sites/Azure/ML4ImageAnal/Forms/AllItems.aspx"/>
        <s v="Remote desktop"/>
        <s v="GUI front-end for the Subversion revision system"/>
        <s v="recovery software recovers deleted files emptied from the Windows Recycle Bin, files lost due to the format or re-install of a hard drive, or files removed by a virus, Trojan infection, unexpected system shutdown or software failure"/>
        <s v="Manufacturing Analytics. Marked for deletetion"/>
        <s v="See &quot;HRIS/Resume Mirror Production&quot;"/>
        <s v="Faxing inbound and outbound on corporate location. Weekends will be tolerable for downtime."/>
        <s v="Sam will provide app name"/>
        <s v="Communication tool"/>
        <s v="ERP (enterprise resource planning)"/>
        <s v="Optical disk authoring program"/>
        <s v="SIEM platform with centralized log management"/>
        <s v="Global Learning Management System"/>
        <s v="*Citrix is required for Sage and Mysis users to access the system._x000a_DS-NJP-SQL001. GAMP 4 (MISYS)"/>
        <s v="Data storage used (73 of 189 GB)_x000a_File storage used (325 of 3200 GB)"/>
        <s v="System Center Configuration Manager. This is the deployment platform to support the workstation environment. Windows Updates, SCEP, Operating System Deployment and Software deployment. Minimum impact during the weekend."/>
        <s v="System Center Operations Manager. Event monitoring platform"/>
        <s v="Substantial Damage Estimator"/>
        <s v="Prod 401 GB_x000a_Test 121 GB_x000a_Dev 112 GB"/>
        <s v="discontinued HTML editor freeware for creating or modifying Microsoft SharePoint sites"/>
        <s v="The total size for SharePoint Online comes to 5.3 TB. Microsoft puts all Teams to SharePoint Online now. So each Teams site is a mini SharePoint site."/>
        <s v="HP System Insight Manager Server manages all the Physical Servers Globally with sending out alerts"/>
        <s v="Product drawing and design software- 3D print software?"/>
        <s v="online business intelligence and decision-making tools for life sciences product management professionals"/>
        <s v="Email"/>
        <s v="Repository and staging for Oracle custom code to be moved to production."/>
        <s v="Main Network Management System and Configuration Repository."/>
        <s v="SQL Performance Monitor Server. Used to monitor EDW SQL Server."/>
        <s v="CAD system for product designs and drawings"/>
        <s v="Equity management"/>
        <s v="Enterprise Mobility Management (EMM) solution for visibility and control over business-critical mobile devices"/>
        <s v="Software purchased to manage Integra's 1099's."/>
        <s v="Software, forums and tools for IT"/>
        <s v="Social media management system"/>
        <s v="MFG part editor"/>
        <s v="SQL Server Reporting Services"/>
        <s v="global meetings management"/>
        <s v="The database is 12GB and the attachments are an additional 6.3GB. The Steeprock Application manages our Investigator study requests, Grant and foundation requests, and HCP Engagement. HCP Engagement includes whenever we have to engage an HCP/KOL, we can make sure the person has a valid Need, Contract, and Service request within Steeprock before we engage them. We also allow our HCPs to submit their work activity reports in the app so we can pay them correctly. No payments are processed in the app, just a way for the HCP to submit for it."/>
        <s v="Data analytics"/>
        <s v="Open source version control system"/>
        <s v="Not in LanSweeper (decommisioned??)"/>
        <s v="CAD- Product designs and drawings."/>
        <s v="Survey development"/>
        <s v="software versioning and revision control system, used to maintain current and historical versions of files such as source code, web pages, and documentation"/>
        <s v="US311SVN002"/>
        <s v="Data protection/ backup"/>
        <s v="PC optimizer"/>
        <s v="https://www.softwright.com/products/tap-software"/>
        <s v="Maintains CAD files for Mansfield site. Editable copies of CAD data exist only in this tool. Able to tolerate longer downtime off hours."/>
        <s v="apparel production and development"/>
        <s v="Third party software from Sparta Systems. This is a GxP validated system._x000a_5/10/2023: Trackwise on Prem will remain active until 2025/2026 as per the plan right now. We are moving to TrackWise Digital which is on Salesforce platform. We do not have a time line for moving Complaints to TrackWise Digital as of now. It could be 2025 or 2026. Not sure."/>
        <s v="HR Training system- have to check up on this!"/>
        <s v="Desktop application with a single license installed on Bob Derby's machine"/>
        <s v="Project management software"/>
        <s v="Text editor for building applications, maintaining databases, or constructing websites"/>
        <s v="Uniflow Server is one integrated platform for all document print processes"/>
        <s v="Workaround exists."/>
        <s v=":)"/>
        <s v="Two compendia, the United States Pharmacopeia (USP) and the National Formulary (NF), containing standards for medicines, dosage forms, drug substances, excipients, biologics, compounded preparations, medical devices, dietary supplements, and other therapeutics."/>
        <s v="Utilized to store simulations created in UPK of Oracle and Agile for training purposes."/>
        <s v="System validation lifecycle management tool. Dev site: https://myapps.microsoft.com/signin/f0865d3a-f91d-4c2f-8447-0153dd9f90a2?tenantId=e63f94e5-a2f4-42ce-bdd4-41492af7f38c"/>
        <s v="Used for data governance on managed file servers"/>
        <s v="Veeva is a Saas based application that is used to manage clinical trials. Vault eTMF/CTMS/Payments_x000a_- production Vault: 8110070MB_x000a_- sandbox Vaults: 201908MB_x000a_Vault CDMS_x000a_- production Vault: 109MB_x000a_- sandbox Vaults: 176374MB"/>
        <s v="Regulatory information"/>
        <s v="WalkMe is a tool that helps Users navigate features of web based services (ie Salesforce.com). Would like to use it for Salesforce"/>
        <s v="Windows Deployment Server - Used to build workstations for Integra."/>
        <s v="Might retire by Q2 2019"/>
        <s v="Workiva?"/>
        <s v="Dave Croson: &quot;Site used is listed as Plainsboro, Brian had nothing to do with Plainsboro.&quot;"/>
        <s v="Card access system, used in buildings 311/313/315/104._x000a_*Building 103 access is managed by the landlord system."/>
        <s v="Manafacturing solutions- UK"/>
        <s v="Communication infrastruture tool"/>
        <s v="Plainsboro NJ software"/>
        <s v="PR software for manufacturing"/>
        <s v="Formerly YouSendIt, now Hightail: a cloud service that lets users send, receive, digitally sign and synchronize files"/>
        <s v="Lab software for NJ"/>
        <s v="Purchased but not implemented and will be the back-up to Teams. Security Asssessment is underway"/>
        <s v="Contract Management software"/>
        <s v="Provides expense auditing and automated processes software to improve compliance and efficiency in business expenses management."/>
        <s v="WebApp and marketing portal design"/>
        <s v="Audit, Compliance &amp; Risk Management software"/>
        <s v="Training platform"/>
        <s v="Accounting account reconciliation"/>
        <s v="Grants management for Medical Affair"/>
        <s v="Solution used for Analytics on Mobile TT App + Portal TT"/>
        <s v="Medical Affair solution"/>
        <s v="Travel &amp; Expense"/>
        <s v="Culture Amp platform engagement and effectiveness - enterprise Survey platform for our pulse and employee engagement surveys"/>
        <s v="Legal/Compliance Application"/>
        <s v="Provides e-signature technology and digital transaction management services."/>
        <s v="Delivers financial data and analytical software for investment professionals to make informed investment decisions."/>
        <s v="Governance, Risks, &amp; Controls system used to provide audit trails on modification performed in Oracle and to support Segregation of Duties (SoD) and sensitive access monitoring"/>
        <s v="Call Center solution for Customer Service"/>
        <s v="Project Management software (used by Le Locle)"/>
        <s v="Customer Order integration"/>
        <s v="Project Management software (use for R&amp;D Portfolio Management and Project / Time Tracking + Resource Management for Clinical Operations)"/>
        <s v="EDI solution for customer orders &amp; e-Invoice"/>
        <s v="Computer-Aided Design (CAD) system for product designs and drawings"/>
        <s v="Marketing email campaigns"/>
        <s v="iCoach is a field sales coaching and development system and app"/>
        <s v="Content, updating, new design templates, and digital signage playlists"/>
        <s v="Health information technologies and clinical research solutions"/>
        <s v="Trading Partner platform integrated with GTM/OTM"/>
        <s v="Training content"/>
        <s v="Automate and manage all critical compliance, product design and quality event documents from every point along the product lifecycle. Solution used by Columbia site"/>
        <s v="Legal Application"/>
        <s v="Medical Device Data Module"/>
        <s v="eIFU Titania Platform"/>
        <s v="Consolidation &amp; budgeting solution"/>
        <s v="Compliance application for Global Spend Transparency"/>
        <s v="Statistical Analysis Software (SAS) licensing fee"/>
        <s v="Project Management software (use by Boston Quality &amp; CSS Product Development)"/>
        <s v="Sustainability &amp; Safety Management Solutions"/>
        <s v="Equity software"/>
        <s v="Transfer price solution"/>
        <s v="Medical Affair solution to track activities with TT KOL"/>
        <s v="Learning Management System"/>
        <s v="ESG platform"/>
        <s v="Electronic signature"/>
        <s v="API Agile PLM"/>
        <s v="Offers robotic process automation (RPA) software to automate repetitive business processes."/>
        <s v="Computerized maintenance management system"/>
        <s v="French Sunshine Act - Engagement with Third Parties HCPs"/>
        <s v="Software solution for managing Unified Communications, integrating voice, video, messaging, and collaboration tools into a single platform."/>
        <s v="Alteryx Designer Subscription (Data Analytics)"/>
        <s v="Firewall VPN solution (GlobalProtect)"/>
        <s v="Secret Server, Privilege Manager, Password Reset Server, and Thycotic Agents"/>
        <s v="Provides a DevOps platform for Salesforce to help businesses accelerate releases and improve release quality."/>
        <s v="Quality system - Le Locle &amp; Mainsfield"/>
        <s v="Delivers integration platform as a service (iPaaS) solutions to connect systems and applications within an organization. Use for Salesforce integration"/>
        <s v="Visual Territory Planning Tool - CSS only"/>
        <s v="Offers an online collaborative whiteboard platform to improve team collaboration and project management."/>
        <s v="Customer Contract Management"/>
        <s v="Project Management software (use by IS - CMC deployment in progress)"/>
        <s v="IS/IT Supplier online assessment for security &amp; compliance"/>
        <s v="Faxing inbound and outbound on corporate location."/>
        <s v="Master Data Management solution"/>
        <s v="Acclarent QAD solution"/>
        <s v="Sage ERP used in Boston"/>
        <s v="Cybersecurity platform - End Point Detection"/>
        <s v="PFPT Threat Response Auto-Pul software"/>
        <s v="Security monitoring solution"/>
        <s v="Leading email authentification software"/>
        <s v="Computer-Aided Design (CAD)"/>
        <s v="Risk monitoring"/>
        <s v="Quality System - Current scope : Audit &amp; CAPA / NC implementation project in progress / SQM to start"/>
        <s v="IT procurement, software licensing, cloud, cybersecurity, and managed services provider."/>
        <s v="Healthcare vendor credentialing, compliance, and supply chain management services."/>
        <s v="IT consulting, application development, cloud, infrastructure, and business process services."/>
        <s v="Healthcare consulting and advisory services; public product details are limited."/>
        <s v="IT consulting and business systems/software services; public details are limited."/>
        <s v="EHS, quality, regulatory, occupational health, and safety management software."/>
        <s v="Tax advisory, compliance, recovery, and tax technology/software services."/>
        <s v="Software engineering, digital transformation, cloud, data, and support services."/>
        <s v="Technology products or IT-related services; public details are limited."/>
        <s v="Quality assurance, validation, compliance, and related consulting/software services."/>
        <s v="Commercial intelligence and analytics software for medical device sales teams."/>
        <s v="Data management, reporting, and IT support services; public details are limited."/>
        <s v="Data analytics, business intelligence, and planning/forecasting consulting services."/>
        <s v="IT consulting, training, and technical services; public details are limited."/>
        <s v="E-commerce or digital commerce services; public details are limited."/>
        <s v="IT consulting, application services, cloud, infrastructure, and outsourcing services."/>
        <s v="Quality management and product development software for medical device companies."/>
        <s v="Industry association offering education, events, standards, and networking services."/>
        <s v="Records storage, digital archiving, document management, and information governance services."/>
        <s v="Workplace management, desk/room booking, and space planning software."/>
        <s v="Tax, e-invoicing, compliance, and finance automation software/services."/>
        <s v="CAD/CAM software for CNC programming, machining, and manufacturing."/>
        <s v="Healthcare transparency, HCP/HCO data, and compliance software/services for life sciences."/>
        <s v="Business software and IT consulting/integration services; public details are limited."/>
        <s v="Supply chain execution, supplier collaboration, logistics, and EDI software/services."/>
        <s v="Technology or consulting services; public details are limited."/>
        <s v="Regulatory publishing, submission, or life sciences information-management software/services."/>
        <s v="Electronics technology products and related technical services."/>
        <s v="Industrial or machinery products and related service/support."/>
        <s v="Technical or IT-related products/services; public details are limited."/>
        <s v="Printers, multifunction devices, document workflow, and managed print services."/>
        <s v="IT products, professional services, configuration, AV, and surveillance solutions."/>
        <s v="Business credit data, supplier risk, company intelligence, and analytics services."/>
        <s v="IT systems integration and support services; public details are limited."/>
        <s v="Trade finance digitization, letters of credit, bank guarantee, and document-processing services."/>
        <s v="Pharmaceutical or healthcare-related products/services; public details are limited."/>
        <s v="Research administration and grant/financial tracking software/services."/>
        <s v="Information technology services and software; public details are limited."/>
        <s v="Consulting and business/IT services; public details are limited."/>
        <s v="Market research reports, industry analysis, and consulting services."/>
        <s v="Audit, tax, consulting, risk, and advisory services."/>
        <s v="Medical and safety equipment plus maintenance, service, and training."/>
        <s v="Tax invoicing, enterprise software, and IT services (Aisino/Aerospace Information)."/>
        <s v="Research databases, journals, discovery services, and library information services."/>
        <s v="Individual or small-business consulting/vendor relationship; public details are not readily verifiable."/>
        <s v="IT or software support/consulting services; public details are limited."/>
        <s v="Business software or IT consulting services; public details are limited."/>
      </sharedItems>
    </cacheField>
    <cacheField name="Current Status" uniqueList="1" numFmtId="0" sqlType="0" hierarchy="0" level="0" databaseField="1">
      <sharedItems count="20" containsBlank="1">
        <s v="Decommissioned"/>
        <s v="Unknown"/>
        <s v="Active"/>
        <s v="In progress"/>
        <m/>
        <s v="Survey Complete with Improvement Opps"/>
        <s v="Site says the app is EOL/no longer available"/>
        <s v="Duplicate"/>
        <s v="Survey Complete"/>
        <s v="User machine names start with DMX and LMX"/>
        <s v="Decommissioned- but double check. Might still be in use by Knaaka for Trackwise"/>
        <s v="Not Started"/>
        <s v="Marked for deletion?"/>
        <s v="Decomissioned?"/>
        <s v="Pending Survey"/>
        <s v="N/A"/>
        <s v="Inactive (Data Retained for Compliance Purposes)"/>
        <s v="Pending feedback from Operations"/>
        <s v="Is this in use? Switched to CommVault?"/>
        <s v="Purchased but not implemented. Security assessment still underway"/>
      </sharedItems>
    </cacheField>
    <cacheField name="Name" uniqueList="1" numFmtId="0" sqlType="0" hierarchy="0" level="0" databaseField="1">
      <sharedItems count="0" containsBlank="1"/>
    </cacheField>
    <cacheField name="Website" uniqueList="1" numFmtId="0" sqlType="0" hierarchy="0" level="0" databaseField="1">
      <sharedItems count="0" containsBlank="1"/>
    </cacheField>
    <cacheField name="Enterprise, Regional, Site Specific" uniqueList="1" numFmtId="0" sqlType="0" hierarchy="0" level="0" databaseField="1">
      <sharedItems count="0" containsBlank="1"/>
    </cacheField>
    <cacheField name="Site Where Used (if Regional or Site Specific)" uniqueList="1" numFmtId="0" sqlType="0" hierarchy="0" level="0" databaseField="1">
      <sharedItems count="0" containsBlank="1"/>
    </cacheField>
    <cacheField name="App hosted on-prem data center? (Y/N) *Not including desktop apps._x000a_Site info captured by Infra team." uniqueList="1" numFmtId="0" sqlType="0" hierarchy="0" level="0" databaseField="1">
      <sharedItems count="0" containsBlank="1"/>
    </cacheField>
    <cacheField name="Is app hosted on cloud? If yes: Azure, OCI, AWS, Other" uniqueList="1" numFmtId="0" sqlType="0" hierarchy="0" level="0" databaseField="1">
      <sharedItems count="0" containsBlank="1"/>
    </cacheField>
    <cacheField name="How is it delivered to users? Browser, Client Software" uniqueList="1" numFmtId="0" sqlType="0" hierarchy="0" level="0" databaseField="1">
      <sharedItems count="0" containsBlank="1"/>
    </cacheField>
    <cacheField name="Mobile App? Y/N" uniqueList="1" numFmtId="0" sqlType="0" hierarchy="0" level="0" databaseField="1">
      <sharedItems count="0" containsBlank="1" containsNonDate="0" containsString="0"/>
    </cacheField>
    <cacheField name="Supports SSO? If yes, Integrated?" uniqueList="1" numFmtId="0" sqlType="0" hierarchy="0" level="0" databaseField="1">
      <sharedItems count="0" containsBlank="1"/>
    </cacheField>
    <cacheField name="Dependent on authentication via on-prem Domain Controller?" uniqueList="1" numFmtId="0" sqlType="0" hierarchy="0" level="0" databaseField="1">
      <sharedItems count="0" containsBlank="1"/>
    </cacheField>
    <cacheField name="Authentication Protocol" uniqueList="1" numFmtId="0" sqlType="0" hierarchy="0" level="0" databaseField="1">
      <sharedItems count="0" containsBlank="1"/>
    </cacheField>
    <cacheField name="Criticality Tier" uniqueList="1" numFmtId="0" sqlType="0" hierarchy="0" level="0" databaseField="1">
      <sharedItems count="0" containsBlank="1"/>
    </cacheField>
    <cacheField name="GXP Validated?" uniqueList="1" numFmtId="0" sqlType="0" hierarchy="0" level="0" databaseField="1">
      <sharedItems count="0" containsBlank="1"/>
    </cacheField>
    <cacheField name="GAMP Category 1-5" uniqueList="1" numFmtId="0" sqlType="0" hierarchy="0" level="0" databaseField="1">
      <sharedItems count="0" containsBlank="1" containsInteger="1" containsMixedTypes="1" containsNumber="1" minValue="3" maxValue="5"/>
    </cacheField>
    <cacheField name="Updated By (Name)" uniqueList="1" numFmtId="0" sqlType="0" hierarchy="0" level="0" databaseField="1">
      <sharedItems count="0" containsBlank="1"/>
    </cacheField>
    <cacheField name="Date Last Updated" uniqueList="1" numFmtId="164" sqlType="0" hierarchy="0" level="0" databaseField="1">
      <sharedItems count="0" containsBlank="1" containsDate="1" containsMixedTypes="1" minDate="2021-01-16T00:00:00" maxDate="2025-10-02T00:00:00"/>
    </cacheField>
    <cacheField name="Person to ask" uniqueList="1" numFmtId="0" sqlType="0" hierarchy="0" level="0" databaseField="1">
      <sharedItems count="0" containsBlank="1"/>
    </cacheField>
    <cacheField name="Date" uniqueList="1" numFmtId="164" sqlType="0" hierarchy="0" level="0" databaseField="1">
      <sharedItems count="0" containsBlank="1" containsDate="1" containsNonDate="0" containsString="0" minDate="2021-01-16T00:00:00" maxDate="2023-05-11T00:00:00"/>
    </cacheField>
    <cacheField name="General Comments" uniqueList="1" numFmtId="0" sqlType="0" hierarchy="0" level="0" databaseField="1">
      <sharedItems count="0" containsBlank="1"/>
    </cacheField>
    <cacheField name="Future Planning" uniqueList="1" numFmtId="0" sqlType="0" hierarchy="0" level="0" databaseField="1">
      <sharedItems count="0" containsBlank="1"/>
    </cacheField>
    <cacheField name="Source" uniqueList="1" numFmtId="0" sqlType="0" hierarchy="0" level="0" databaseField="1">
      <sharedItems count="4">
        <s v="Global Inv - Mar 2026"/>
        <s v="IT Shadow"/>
        <s v="IT managed"/>
        <s v="2026 LOB IT Vendor List"/>
      </sharedItems>
    </cacheField>
    <cacheField name="Portfolio Category" uniqueList="1" numFmtId="0" sqlType="0" hierarchy="0" level="0" databaseField="1">
      <sharedItems count="18">
        <s v="Finance"/>
        <s v="Manufacturing"/>
        <s v="IT Operations"/>
        <s v="Medical Affairs"/>
        <s v="Human Resources and Talent"/>
        <s v="Marketing"/>
        <s v="Supply Chain and Distribution"/>
        <s v="Engineering"/>
        <s v="Clinical Manufacturing Process"/>
        <s v="Quality and Validation"/>
        <s v="Compliance and Risk"/>
        <s v="Data and Analytics"/>
        <s v="Cyber Security"/>
        <s v="Enterprise Agility"/>
        <s v="Sales"/>
        <s v="Clinical Trials"/>
        <s v="Regulatory Affairs"/>
        <s v="Discovery, Development and PreClinical"/>
      </sharedItems>
    </cacheField>
    <cacheField name="Portfolio Category Description" uniqueList="1" numFmtId="0" sqlType="0" hierarchy="0" level="0" databaseField="1">
      <sharedItems count="0" longText="1"/>
    </cacheField>
  </cacheFields>
</pivotCacheDefinition>
</file>

<file path=xl/pivotCache/pivotCacheRecords1.xml><?xml version="1.0" encoding="utf-8"?>
<pivotCacheRecords xmlns="http://schemas.openxmlformats.org/spreadsheetml/2006/main" count="690">
  <r>
    <x v="0"/>
    <x v="0"/>
    <x v="0"/>
    <s v="SAP"/>
    <m/>
    <s v="Enterprise"/>
    <m/>
    <s v="Yes"/>
    <m/>
    <s v="On Premises (Client/Server)"/>
    <m/>
    <m/>
    <s v="Yes"/>
    <s v="LDAP"/>
    <s v="T1"/>
    <s v="No"/>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
    <x v="1"/>
    <x v="1"/>
    <s v="Rockwell Software"/>
    <m/>
    <s v="Localized"/>
    <s v="Plainsboro-109"/>
    <s v="Yes"/>
    <m/>
    <s v="On Premises (Client/Server)"/>
    <m/>
    <m/>
    <m/>
    <m/>
    <m/>
    <s v="Yes"/>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
    <x v="2"/>
    <x v="2"/>
    <m/>
    <m/>
    <m/>
    <m/>
    <m/>
    <m/>
    <m/>
    <m/>
    <m/>
    <m/>
    <m/>
    <m/>
    <m/>
    <m/>
    <s v="Dave Kreminski"/>
    <d v="2025-01-16T00:00:00"/>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
    <x v="3"/>
    <x v="2"/>
    <s v="7-Zip"/>
    <s v="7-Zip"/>
    <s v="Enterprise"/>
    <s v="Global"/>
    <s v="no"/>
    <m/>
    <s v="Desktop"/>
    <m/>
    <m/>
    <m/>
    <m/>
    <m/>
    <s v="No"/>
    <m/>
    <s v="Dave Kreminski"/>
    <d v="2025-01-16T00:00:00"/>
    <s v="Desktop app- ask German Mesa?"/>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
    <x v="4"/>
    <x v="1"/>
    <m/>
    <m/>
    <m/>
    <m/>
    <m/>
    <s v="Azure"/>
    <m/>
    <m/>
    <m/>
    <m/>
    <m/>
    <m/>
    <m/>
    <m/>
    <m/>
    <m/>
    <s v="not an app. Ask Michael Patterson what's running on the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
    <x v="5"/>
    <x v="1"/>
    <s v="ACell"/>
    <m/>
    <m/>
    <m/>
    <m/>
    <s v="Other"/>
    <m/>
    <m/>
    <m/>
    <m/>
    <m/>
    <m/>
    <m/>
    <m/>
    <m/>
    <m/>
    <s v="Ask Brian Sherfey"/>
    <m/>
    <m/>
    <m/>
    <x v="0"/>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6"/>
    <x v="6"/>
    <x v="1"/>
    <m/>
    <m/>
    <m/>
    <m/>
    <s v="Unknown"/>
    <s v="Unknown"/>
    <m/>
    <m/>
    <m/>
    <m/>
    <m/>
    <m/>
    <m/>
    <m/>
    <m/>
    <m/>
    <s v="Check with Matt Cerny"/>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
    <x v="7"/>
    <x v="1"/>
    <s v="Workday"/>
    <m/>
    <m/>
    <m/>
    <m/>
    <s v="Other"/>
    <m/>
    <m/>
    <m/>
    <m/>
    <m/>
    <m/>
    <m/>
    <m/>
    <m/>
    <m/>
    <s v="Mark Ferry"/>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8"/>
    <x v="8"/>
    <x v="2"/>
    <s v="Adobe"/>
    <s v="Adobe AIR Learn &amp; Support"/>
    <m/>
    <m/>
    <m/>
    <m/>
    <m/>
    <m/>
    <m/>
    <m/>
    <m/>
    <m/>
    <m/>
    <m/>
    <s v="Dave Kreminski"/>
    <d v="2025-01-16T00:00:00"/>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9"/>
    <x v="9"/>
    <x v="2"/>
    <s v="Adobe"/>
    <m/>
    <m/>
    <s v="Multi-Site-Cincinnati-Billerica-Austin"/>
    <m/>
    <m/>
    <s v="Desktop"/>
    <m/>
    <m/>
    <m/>
    <m/>
    <m/>
    <s v="No"/>
    <m/>
    <s v="Michael Patterson"/>
    <d v="2021-11-16T00:00:00"/>
    <s v="Verified via Michael Patterson"/>
    <d v="2021-11-16T00:00:00"/>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0"/>
    <x v="10"/>
    <x v="1"/>
    <s v="Adobe"/>
    <m/>
    <m/>
    <s v="St. Aubin"/>
    <m/>
    <m/>
    <s v="Desktop"/>
    <m/>
    <m/>
    <m/>
    <m/>
    <m/>
    <m/>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1"/>
    <x v="11"/>
    <x v="1"/>
    <s v="Adobe"/>
    <m/>
    <m/>
    <m/>
    <m/>
    <s v="Other"/>
    <m/>
    <m/>
    <m/>
    <m/>
    <m/>
    <m/>
    <m/>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2"/>
    <x v="12"/>
    <x v="1"/>
    <s v="Adobe"/>
    <m/>
    <m/>
    <s v="Lyon"/>
    <m/>
    <m/>
    <s v="Desktop"/>
    <m/>
    <m/>
    <m/>
    <m/>
    <m/>
    <s v="No"/>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3"/>
    <x v="12"/>
    <x v="1"/>
    <s v="Adobe"/>
    <m/>
    <m/>
    <s v="Puerto Rico"/>
    <m/>
    <m/>
    <s v="Desktop"/>
    <m/>
    <m/>
    <m/>
    <m/>
    <m/>
    <s v="No"/>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4"/>
    <x v="13"/>
    <x v="1"/>
    <m/>
    <m/>
    <m/>
    <s v="Plainsboro 105"/>
    <m/>
    <m/>
    <s v="Desktop"/>
    <m/>
    <m/>
    <m/>
    <m/>
    <m/>
    <s v="Yyes"/>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4"/>
    <x v="13"/>
    <x v="1"/>
    <s v="Adobe"/>
    <m/>
    <m/>
    <s v="Plainsboro, St. Aubin"/>
    <m/>
    <m/>
    <s v="Desktop"/>
    <m/>
    <m/>
    <m/>
    <m/>
    <m/>
    <s v="No"/>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4"/>
    <x v="12"/>
    <x v="1"/>
    <s v="Adobe"/>
    <m/>
    <m/>
    <s v="Irvine, Germany, Tullamore"/>
    <m/>
    <m/>
    <s v="Desktop"/>
    <m/>
    <m/>
    <m/>
    <m/>
    <m/>
    <s v="No"/>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5"/>
    <x v="12"/>
    <x v="1"/>
    <s v="Adobe"/>
    <m/>
    <m/>
    <s v="St. Aubin"/>
    <m/>
    <m/>
    <s v="Desktop"/>
    <m/>
    <m/>
    <m/>
    <m/>
    <m/>
    <m/>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6"/>
    <x v="14"/>
    <x v="2"/>
    <s v="ADP"/>
    <m/>
    <s v="Enterprise"/>
    <m/>
    <m/>
    <s v="Other"/>
    <s v="Saas"/>
    <m/>
    <m/>
    <m/>
    <m/>
    <m/>
    <s v="No"/>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7"/>
    <x v="15"/>
    <x v="2"/>
    <s v="ADP"/>
    <m/>
    <s v="Enterprise"/>
    <m/>
    <m/>
    <s v="Other"/>
    <s v="Saas"/>
    <m/>
    <m/>
    <m/>
    <m/>
    <m/>
    <s v="No"/>
    <m/>
    <m/>
    <m/>
    <s v="Ask Davinia Londregan. Module within ADP?"/>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8"/>
    <x v="16"/>
    <x v="2"/>
    <s v="ADP"/>
    <m/>
    <m/>
    <s v="France"/>
    <m/>
    <s v="Other"/>
    <s v="Saas"/>
    <m/>
    <m/>
    <m/>
    <m/>
    <m/>
    <s v="No"/>
    <m/>
    <m/>
    <m/>
    <s v="Ask Davinia Londregan. Module within ADP?"/>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9"/>
    <x v="17"/>
    <x v="2"/>
    <s v="Oracle"/>
    <m/>
    <m/>
    <s v="York"/>
    <m/>
    <s v="OCI"/>
    <s v="On Premises (Client/Server)"/>
    <m/>
    <m/>
    <m/>
    <m/>
    <s v="T1"/>
    <s v="Yes"/>
    <s v="4, 5"/>
    <s v="Dave Kreminski"/>
    <d v="2025-01-16T00:00:00"/>
    <s v="Verified via George Groom"/>
    <d v="2022-03-14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0"/>
    <x v="18"/>
    <x v="0"/>
    <s v="Oracle and ProShip (fka, Best Way Technologies a wholly owned subsidiary of Systems &amp; Programming Solutions, Inc)"/>
    <m/>
    <s v="Enterprise"/>
    <m/>
    <s v="Yes"/>
    <m/>
    <s v="On Premises (Client/Server)"/>
    <m/>
    <m/>
    <s v="Yes"/>
    <m/>
    <s v="T1"/>
    <s v="No"/>
    <m/>
    <m/>
    <m/>
    <m/>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21"/>
    <x v="19"/>
    <x v="2"/>
    <s v="ProShip (fka, Best Way Technologies a wholly owned subsidiary of Systems &amp; Programming Solutions, Inc)"/>
    <m/>
    <m/>
    <s v="York, Reno, Salt Lake City, Vista"/>
    <s v="no"/>
    <m/>
    <s v="Saas"/>
    <m/>
    <m/>
    <s v="Yes"/>
    <m/>
    <s v="T1?"/>
    <s v="No"/>
    <m/>
    <m/>
    <m/>
    <m/>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22"/>
    <x v="20"/>
    <x v="2"/>
    <s v="Agile PLM"/>
    <m/>
    <s v="Enterprise"/>
    <m/>
    <s v="Yes"/>
    <m/>
    <m/>
    <m/>
    <m/>
    <s v="No"/>
    <m/>
    <s v="T1"/>
    <s v="Yes"/>
    <s v="4, 5"/>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23"/>
    <x v="21"/>
    <x v="1"/>
    <s v="Agilent"/>
    <m/>
    <m/>
    <s v="Plainsboro Corp"/>
    <m/>
    <m/>
    <s v="Desktop"/>
    <m/>
    <m/>
    <m/>
    <m/>
    <m/>
    <s v="Yes"/>
    <m/>
    <m/>
    <m/>
    <s v="Sheleheda, David"/>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4"/>
    <x v="22"/>
    <x v="0"/>
    <m/>
    <m/>
    <m/>
    <s v="Cincinnati"/>
    <m/>
    <m/>
    <s v="Desktop"/>
    <m/>
    <m/>
    <m/>
    <m/>
    <m/>
    <s v="Yes"/>
    <m/>
    <m/>
    <m/>
    <s v="check with LaRae Pettit"/>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25"/>
    <x v="23"/>
    <x v="1"/>
    <m/>
    <m/>
    <m/>
    <s v="Puerto Rico"/>
    <m/>
    <m/>
    <s v="Desktop"/>
    <m/>
    <m/>
    <m/>
    <m/>
    <m/>
    <s v="Yes"/>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6"/>
    <x v="24"/>
    <x v="1"/>
    <s v="AlertMedia + Vista Equity Partners"/>
    <m/>
    <m/>
    <m/>
    <m/>
    <s v="Other"/>
    <m/>
    <m/>
    <m/>
    <m/>
    <m/>
    <m/>
    <m/>
    <m/>
    <m/>
    <m/>
    <s v="Tim Sharkey"/>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7"/>
    <x v="25"/>
    <x v="1"/>
    <s v="AnsureSoftware"/>
    <m/>
    <m/>
    <s v="Tullamore"/>
    <m/>
    <m/>
    <s v="Desktop"/>
    <m/>
    <m/>
    <m/>
    <m/>
    <m/>
    <s v="Yes"/>
    <m/>
    <m/>
    <m/>
    <s v="Ian Gemmell"/>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8"/>
    <x v="6"/>
    <x v="1"/>
    <s v="AnvoSoft"/>
    <m/>
    <m/>
    <s v="St. Aubin"/>
    <s v="Unknown"/>
    <s v="Unknown"/>
    <m/>
    <m/>
    <m/>
    <m/>
    <m/>
    <m/>
    <m/>
    <m/>
    <m/>
    <m/>
    <s v="Daniel Marabotti"/>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9"/>
    <x v="26"/>
    <x v="2"/>
    <s v="IBM"/>
    <m/>
    <m/>
    <s v="Corporate"/>
    <s v="Yes"/>
    <m/>
    <s v="Remote Desktop"/>
    <m/>
    <s v="No"/>
    <m/>
    <m/>
    <s v="T3"/>
    <s v="No"/>
    <m/>
    <s v="John O'Callaghan"/>
    <d v="2022-04-07T00:00:00"/>
    <s v="Verified via John O'Callaghan"/>
    <d v="2022-04-07T00:00:00"/>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9"/>
    <x v="27"/>
    <x v="3"/>
    <s v="Microsoft"/>
    <m/>
    <m/>
    <s v="Corporate"/>
    <m/>
    <s v="Azure"/>
    <s v="Cloud"/>
    <m/>
    <s v="Yes"/>
    <m/>
    <m/>
    <s v="T3"/>
    <s v="No"/>
    <m/>
    <s v="Amit Singhal, Vincent Lu, Matt Yao"/>
    <d v="2022-04-05T00:00:00"/>
    <s v="Verified via Amit Singhal, Vincent Lu, Matt Yao"/>
    <d v="2022-04-05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0"/>
    <x v="28"/>
    <x v="1"/>
    <s v="Acquire Talent Management"/>
    <m/>
    <m/>
    <m/>
    <s v="Unknown"/>
    <s v="Unknown"/>
    <m/>
    <m/>
    <m/>
    <m/>
    <m/>
    <m/>
    <m/>
    <m/>
    <m/>
    <m/>
    <s v="Norma Frahn"/>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31"/>
    <x v="6"/>
    <x v="1"/>
    <m/>
    <m/>
    <m/>
    <m/>
    <m/>
    <s v="Other"/>
    <m/>
    <m/>
    <m/>
    <m/>
    <m/>
    <m/>
    <m/>
    <m/>
    <m/>
    <m/>
    <s v="Norma Frahn"/>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32"/>
    <x v="29"/>
    <x v="1"/>
    <m/>
    <m/>
    <m/>
    <s v="Puerto Rico"/>
    <s v="Unknown"/>
    <s v="Unknown"/>
    <m/>
    <m/>
    <m/>
    <m/>
    <m/>
    <m/>
    <s v="Yes"/>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3"/>
    <x v="6"/>
    <x v="1"/>
    <m/>
    <m/>
    <m/>
    <m/>
    <m/>
    <s v="Other"/>
    <m/>
    <m/>
    <m/>
    <m/>
    <m/>
    <m/>
    <m/>
    <m/>
    <m/>
    <m/>
    <s v="Brian Sherfey / Michael Patterson"/>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
    <x v="30"/>
    <x v="4"/>
    <m/>
    <m/>
    <m/>
    <m/>
    <m/>
    <m/>
    <m/>
    <m/>
    <m/>
    <s v="Yes"/>
    <m/>
    <m/>
    <m/>
    <m/>
    <s v="Vincent Lu"/>
    <d v="2023-03-16T00:00:00"/>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5"/>
    <x v="31"/>
    <x v="1"/>
    <s v="Atmel and Microchip?"/>
    <m/>
    <m/>
    <s v="Billerica"/>
    <m/>
    <m/>
    <s v="Desktop"/>
    <m/>
    <m/>
    <m/>
    <m/>
    <m/>
    <s v="No"/>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6"/>
    <x v="32"/>
    <x v="1"/>
    <s v="AutoDesk"/>
    <m/>
    <m/>
    <s v="Billerica, Plainsboro"/>
    <m/>
    <m/>
    <s v="Desktop"/>
    <m/>
    <m/>
    <m/>
    <m/>
    <m/>
    <s v="NA"/>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6"/>
    <x v="33"/>
    <x v="1"/>
    <s v="AutoDesk"/>
    <m/>
    <m/>
    <s v="Puerto Rico"/>
    <m/>
    <m/>
    <s v="Desktop"/>
    <m/>
    <m/>
    <m/>
    <m/>
    <m/>
    <s v="No"/>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6"/>
    <x v="33"/>
    <x v="1"/>
    <s v="AutoDesk"/>
    <m/>
    <m/>
    <s v="Puerto Rico"/>
    <m/>
    <m/>
    <s v="Desktop / MAC"/>
    <m/>
    <m/>
    <m/>
    <m/>
    <m/>
    <s v="No"/>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7"/>
    <x v="34"/>
    <x v="1"/>
    <s v="AutoDesk"/>
    <m/>
    <m/>
    <s v="Americas - Mansfield"/>
    <s v="Yes"/>
    <m/>
    <m/>
    <m/>
    <m/>
    <m/>
    <m/>
    <m/>
    <s v="No"/>
    <m/>
    <m/>
    <m/>
    <s v="serv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8"/>
    <x v="35"/>
    <x v="2"/>
    <s v="AutoDesk"/>
    <m/>
    <m/>
    <s v="Cincinnati"/>
    <s v="Yes"/>
    <m/>
    <s v="Desktop"/>
    <m/>
    <m/>
    <m/>
    <m/>
    <m/>
    <s v="No"/>
    <m/>
    <s v="Michael Patterson"/>
    <d v="2021-11-16T00:00:00"/>
    <s v="Verified via Michael Patterson"/>
    <d v="2021-11-16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9"/>
    <x v="36"/>
    <x v="1"/>
    <m/>
    <m/>
    <m/>
    <s v="Puerto Rico"/>
    <s v="Unknown"/>
    <s v="Unknown"/>
    <m/>
    <m/>
    <m/>
    <m/>
    <m/>
    <m/>
    <s v="Yes"/>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0"/>
    <x v="37"/>
    <x v="2"/>
    <s v="Wavelink"/>
    <m/>
    <m/>
    <s v="Global (excluding Australia)"/>
    <s v="Yes"/>
    <m/>
    <s v="On Premises (Client/Server)"/>
    <m/>
    <m/>
    <s v="No"/>
    <m/>
    <m/>
    <s v="Yes"/>
    <m/>
    <s v="Kishor Patel"/>
    <d v="2021-11-22T00:00:00"/>
    <s v="Verified via Kishor Patel"/>
    <d v="2021-11-22T00:00:00"/>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41"/>
    <x v="6"/>
    <x v="1"/>
    <s v="Avaya"/>
    <m/>
    <m/>
    <s v="Puerto Rico"/>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2"/>
    <x v="38"/>
    <x v="1"/>
    <s v="Avaya"/>
    <m/>
    <m/>
    <m/>
    <m/>
    <s v="Other"/>
    <m/>
    <m/>
    <m/>
    <m/>
    <m/>
    <m/>
    <m/>
    <m/>
    <m/>
    <m/>
    <s v="Matt Rugierio"/>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
    <x v="6"/>
    <x v="1"/>
    <m/>
    <m/>
    <m/>
    <m/>
    <m/>
    <s v="Other"/>
    <m/>
    <m/>
    <m/>
    <m/>
    <m/>
    <m/>
    <m/>
    <m/>
    <m/>
    <m/>
    <s v="Desktop app- ask German Mesa?"/>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44"/>
    <x v="6"/>
    <x v="1"/>
    <s v="Amazon"/>
    <m/>
    <s v="Enterprise"/>
    <m/>
    <m/>
    <s v="AWS"/>
    <m/>
    <m/>
    <m/>
    <m/>
    <m/>
    <m/>
    <s v="No"/>
    <m/>
    <m/>
    <m/>
    <s v="not an app"/>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5"/>
    <x v="39"/>
    <x v="1"/>
    <m/>
    <m/>
    <m/>
    <m/>
    <m/>
    <s v="Other"/>
    <m/>
    <m/>
    <m/>
    <m/>
    <m/>
    <m/>
    <m/>
    <m/>
    <m/>
    <m/>
    <s v="Lauren Luchento or Brooke Siefert? Tim Sharkey?"/>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6"/>
    <x v="40"/>
    <x v="2"/>
    <s v="Genesyze"/>
    <m/>
    <m/>
    <s v="Europe (Sales)"/>
    <m/>
    <s v="Other"/>
    <s v="iPad via Intune"/>
    <m/>
    <s v="No"/>
    <m/>
    <m/>
    <s v="T3 or T4? Downtime can be extended to 7 days if necessary"/>
    <s v="No"/>
    <m/>
    <s v="Philippe Ribouleau; Vincent Lu"/>
    <d v="2022-03-31T00:00:00"/>
    <s v="Verified via Philippe Ribouleau; Vincent Lu"/>
    <d v="2022-03-31T00:00:00"/>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47"/>
    <x v="41"/>
    <x v="5"/>
    <s v="Integra_ISDevelopedScript"/>
    <m/>
    <m/>
    <s v="Plainsboro Corp"/>
    <s v="Yes"/>
    <m/>
    <s v="On Premises (Client/Server)"/>
    <m/>
    <m/>
    <m/>
    <m/>
    <m/>
    <s v="No"/>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8"/>
    <x v="6"/>
    <x v="1"/>
    <m/>
    <m/>
    <m/>
    <m/>
    <m/>
    <s v="Other"/>
    <m/>
    <m/>
    <m/>
    <m/>
    <m/>
    <m/>
    <m/>
    <m/>
    <m/>
    <m/>
    <s v="Charles Ferrer"/>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9"/>
    <x v="42"/>
    <x v="1"/>
    <s v="BulletProof Software"/>
    <m/>
    <m/>
    <s v="Lyon"/>
    <m/>
    <m/>
    <m/>
    <m/>
    <m/>
    <m/>
    <m/>
    <m/>
    <m/>
    <m/>
    <m/>
    <m/>
    <s v="Charles Ferrer"/>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0"/>
    <x v="43"/>
    <x v="2"/>
    <s v="Seagull Scientific"/>
    <m/>
    <m/>
    <s v="Cincinnati"/>
    <m/>
    <m/>
    <s v="Desktop"/>
    <m/>
    <m/>
    <m/>
    <m/>
    <m/>
    <s v="Yes"/>
    <m/>
    <s v="Kishor Patel"/>
    <d v="2021-11-22T00:00:00"/>
    <s v="Verified via Kishor Patel"/>
    <d v="2021-11-22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0"/>
    <x v="43"/>
    <x v="2"/>
    <m/>
    <m/>
    <m/>
    <s v="Salt Lake City"/>
    <m/>
    <m/>
    <s v="Desktop"/>
    <m/>
    <m/>
    <m/>
    <m/>
    <m/>
    <s v="Yes"/>
    <m/>
    <s v="Kishor Patel"/>
    <d v="2022-02-15T00:00:00"/>
    <s v="Verified via Kishor Patel"/>
    <d v="2022-02-15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1"/>
    <x v="43"/>
    <x v="6"/>
    <s v="Nu2 Productions"/>
    <m/>
    <m/>
    <s v="Billerica"/>
    <m/>
    <m/>
    <s v="Desktop"/>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2"/>
    <x v="44"/>
    <x v="1"/>
    <s v="BlackBerry"/>
    <m/>
    <m/>
    <m/>
    <m/>
    <s v="Other"/>
    <m/>
    <m/>
    <m/>
    <m/>
    <m/>
    <m/>
    <m/>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3"/>
    <x v="45"/>
    <x v="7"/>
    <m/>
    <m/>
    <m/>
    <m/>
    <m/>
    <m/>
    <m/>
    <m/>
    <m/>
    <m/>
    <m/>
    <m/>
    <m/>
    <m/>
    <m/>
    <m/>
    <s v="Maheva Vado"/>
    <m/>
    <s v="Application known as NAYACT"/>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4"/>
    <x v="46"/>
    <x v="1"/>
    <m/>
    <m/>
    <m/>
    <s v="Corporate (Building 109 only)"/>
    <s v="Yes"/>
    <m/>
    <s v="On Premises (Client/Server)"/>
    <m/>
    <m/>
    <m/>
    <m/>
    <m/>
    <s v="Yes"/>
    <m/>
    <m/>
    <m/>
    <s v="changed IS Own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55"/>
    <x v="47"/>
    <x v="1"/>
    <s v="Nasdaq"/>
    <m/>
    <m/>
    <m/>
    <m/>
    <s v="Other"/>
    <m/>
    <m/>
    <m/>
    <m/>
    <m/>
    <m/>
    <m/>
    <m/>
    <m/>
    <m/>
    <s v="is Director's Desk. Ask Alisa Williams"/>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6"/>
    <x v="48"/>
    <x v="1"/>
    <s v="Apple"/>
    <m/>
    <m/>
    <m/>
    <m/>
    <s v="Other"/>
    <m/>
    <m/>
    <m/>
    <m/>
    <m/>
    <m/>
    <m/>
    <m/>
    <m/>
    <m/>
    <s v="Decomissioned? Confirm with German"/>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7"/>
    <x v="49"/>
    <x v="2"/>
    <s v="Mozilla Foundation"/>
    <m/>
    <m/>
    <s v="Billerica"/>
    <s v="Yes"/>
    <m/>
    <s v="On Premises (Client/Server)"/>
    <m/>
    <m/>
    <m/>
    <m/>
    <m/>
    <s v="N"/>
    <m/>
    <s v="Gary Beckmann"/>
    <d v="2022-01-20T00:00:00"/>
    <s v="Verified via Gary Beckmann"/>
    <d v="2022-01-20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8"/>
    <x v="50"/>
    <x v="1"/>
    <s v="Canon"/>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9"/>
    <x v="51"/>
    <x v="1"/>
    <s v="Cape Software + Wood Group USA, Inc"/>
    <m/>
    <m/>
    <m/>
    <m/>
    <s v="Other"/>
    <m/>
    <m/>
    <m/>
    <m/>
    <m/>
    <m/>
    <m/>
    <m/>
    <m/>
    <m/>
    <s v="Ask Kent Lowry"/>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60"/>
    <x v="52"/>
    <x v="2"/>
    <s v="VMWare"/>
    <m/>
    <s v="Enterprise"/>
    <m/>
    <m/>
    <m/>
    <s v="Web"/>
    <m/>
    <m/>
    <m/>
    <m/>
    <m/>
    <m/>
    <m/>
    <s v="Matthew Cerny"/>
    <d v="2021-11-18T00:00:00"/>
    <s v="Verified via Matthew Cerny"/>
    <d v="2021-11-18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1"/>
    <x v="6"/>
    <x v="1"/>
    <m/>
    <m/>
    <m/>
    <s v="Lyon"/>
    <m/>
    <m/>
    <s v="Local"/>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2"/>
    <x v="6"/>
    <x v="1"/>
    <m/>
    <m/>
    <m/>
    <s v="Puerto Rico"/>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63"/>
    <x v="53"/>
    <x v="1"/>
    <s v="Bank of America"/>
    <m/>
    <m/>
    <m/>
    <m/>
    <m/>
    <m/>
    <m/>
    <m/>
    <m/>
    <m/>
    <m/>
    <m/>
    <m/>
    <m/>
    <m/>
    <s v="Paula Martucci"/>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64"/>
    <x v="54"/>
    <x v="1"/>
    <s v="Microsoft"/>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5"/>
    <x v="55"/>
    <x v="1"/>
    <s v="CheckPoint"/>
    <m/>
    <m/>
    <m/>
    <m/>
    <s v="Other"/>
    <m/>
    <m/>
    <m/>
    <m/>
    <m/>
    <m/>
    <m/>
    <m/>
    <m/>
    <m/>
    <s v="Duplicate?"/>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65"/>
    <x v="6"/>
    <x v="1"/>
    <s v="Temp Sys inc."/>
    <m/>
    <m/>
    <s v="Boston, Cincinnati"/>
    <m/>
    <m/>
    <m/>
    <m/>
    <m/>
    <m/>
    <m/>
    <m/>
    <m/>
    <m/>
    <m/>
    <m/>
    <s v="Duplicate?"/>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66"/>
    <x v="56"/>
    <x v="1"/>
    <s v="Cherwell"/>
    <m/>
    <s v="Enterprise"/>
    <m/>
    <s v="Yes"/>
    <m/>
    <s v="On Premises (Client/Server)"/>
    <m/>
    <m/>
    <m/>
    <m/>
    <m/>
    <s v="No"/>
    <m/>
    <m/>
    <m/>
    <s v="JohnTred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7"/>
    <x v="6"/>
    <x v="1"/>
    <m/>
    <m/>
    <m/>
    <s v="Puerto Rico"/>
    <m/>
    <m/>
    <m/>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68"/>
    <x v="57"/>
    <x v="2"/>
    <s v="Google"/>
    <m/>
    <s v="Enterprise"/>
    <m/>
    <m/>
    <s v="Other"/>
    <s v="Saas"/>
    <m/>
    <m/>
    <m/>
    <m/>
    <m/>
    <s v="N"/>
    <m/>
    <s v="Jeff Gersbach"/>
    <d v="2022-02-23T00:00:00"/>
    <s v="Verified via Jeff Gersbach"/>
    <d v="2022-02-23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9"/>
    <x v="33"/>
    <x v="1"/>
    <m/>
    <m/>
    <m/>
    <s v="Plainsboro 105"/>
    <m/>
    <m/>
    <m/>
    <m/>
    <m/>
    <m/>
    <m/>
    <m/>
    <s v="N"/>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69"/>
    <x v="1"/>
    <x v="1"/>
    <s v="Thermo Fisher Scientific"/>
    <m/>
    <m/>
    <s v="Plainsboro Corp"/>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70"/>
    <x v="58"/>
    <x v="2"/>
    <s v="Cimco"/>
    <m/>
    <m/>
    <s v="Cincinnati"/>
    <s v="Yes"/>
    <m/>
    <m/>
    <m/>
    <m/>
    <m/>
    <m/>
    <m/>
    <s v="No"/>
    <m/>
    <s v="Michael Patterson"/>
    <d v="2021-11-16T00:00:00"/>
    <s v="Verified 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71"/>
    <x v="59"/>
    <x v="1"/>
    <s v="Cisco"/>
    <m/>
    <s v="Enterprise"/>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2"/>
    <x v="60"/>
    <x v="1"/>
    <s v="Citrix"/>
    <m/>
    <s v="Enterprise"/>
    <m/>
    <m/>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2"/>
    <x v="60"/>
    <x v="1"/>
    <s v="Citrix"/>
    <m/>
    <s v="Enterprise"/>
    <m/>
    <m/>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2"/>
    <x v="6"/>
    <x v="1"/>
    <s v="Citrix"/>
    <m/>
    <m/>
    <s v="St. Aubin"/>
    <m/>
    <m/>
    <s v="on-prem / Web"/>
    <m/>
    <m/>
    <m/>
    <m/>
    <m/>
    <s v="No"/>
    <m/>
    <m/>
    <m/>
    <s v="Erik Melchio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2"/>
    <x v="61"/>
    <x v="1"/>
    <s v="Citrix"/>
    <m/>
    <m/>
    <m/>
    <m/>
    <m/>
    <s v="on-prem 1100 &amp; Biot + Azure PaaS"/>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3"/>
    <x v="6"/>
    <x v="1"/>
    <s v="Citrix"/>
    <m/>
    <m/>
    <s v="Americas - Canada and US AP/AR Derma (residual)"/>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4"/>
    <x v="62"/>
    <x v="2"/>
    <s v="Citrix"/>
    <m/>
    <m/>
    <s v="US and Europe"/>
    <m/>
    <s v="Azure"/>
    <s v="Desktop"/>
    <m/>
    <s v="Yes"/>
    <m/>
    <m/>
    <s v="T4"/>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5"/>
    <x v="6"/>
    <x v="4"/>
    <m/>
    <m/>
    <m/>
    <m/>
    <m/>
    <m/>
    <m/>
    <m/>
    <m/>
    <m/>
    <m/>
    <m/>
    <s v="Yes"/>
    <m/>
    <s v="Kevin McParland"/>
    <d v="2022-05-12T00:00:00"/>
    <m/>
    <m/>
    <m/>
    <m/>
    <x v="0"/>
    <x v="15"/>
    <s v="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
  </r>
  <r>
    <x v="76"/>
    <x v="63"/>
    <x v="1"/>
    <s v="Microsoft"/>
    <m/>
    <m/>
    <m/>
    <m/>
    <s v="Other"/>
    <m/>
    <m/>
    <m/>
    <m/>
    <m/>
    <m/>
    <m/>
    <m/>
    <m/>
    <m/>
    <s v="Matt Rugierio"/>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77"/>
    <x v="64"/>
    <x v="2"/>
    <s v="IDAutomation"/>
    <m/>
    <m/>
    <s v="Cincinnati"/>
    <s v="Yes"/>
    <m/>
    <s v="Desktop"/>
    <m/>
    <m/>
    <m/>
    <m/>
    <m/>
    <s v="No"/>
    <m/>
    <s v="Michael Patterson"/>
    <d v="2021-11-16T00:00:00"/>
    <s v="Verified 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78"/>
    <x v="6"/>
    <x v="1"/>
    <s v="Teklynx"/>
    <m/>
    <m/>
    <s v="St. Aubin"/>
    <s v="Yes"/>
    <m/>
    <s v="On Premises (Client/Server)"/>
    <m/>
    <m/>
    <m/>
    <m/>
    <m/>
    <m/>
    <m/>
    <m/>
    <m/>
    <s v="Kishor Patel or Charles Ferrer"/>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79"/>
    <x v="6"/>
    <x v="1"/>
    <s v="Codis"/>
    <m/>
    <m/>
    <s v="Andover, Dublin"/>
    <m/>
    <m/>
    <s v="Desktop"/>
    <m/>
    <m/>
    <m/>
    <m/>
    <m/>
    <s v="N"/>
    <m/>
    <m/>
    <m/>
    <s v="Paul James. Federico Argento"/>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80"/>
    <x v="6"/>
    <x v="8"/>
    <s v="IBM"/>
    <m/>
    <m/>
    <s v="Multi-Site"/>
    <s v="Yes"/>
    <m/>
    <s v="On Premises (Client/Server)"/>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81"/>
    <x v="65"/>
    <x v="1"/>
    <s v="Colobo"/>
    <m/>
    <m/>
    <s v="Japan"/>
    <m/>
    <s v="Other"/>
    <s v="Saas"/>
    <m/>
    <m/>
    <m/>
    <m/>
    <m/>
    <s v="No"/>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82"/>
    <x v="6"/>
    <x v="1"/>
    <s v="ComFio"/>
    <m/>
    <m/>
    <m/>
    <m/>
    <s v="Other"/>
    <m/>
    <m/>
    <m/>
    <m/>
    <m/>
    <m/>
    <m/>
    <m/>
    <m/>
    <m/>
    <s v="Daniel Marabotti"/>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83"/>
    <x v="66"/>
    <x v="1"/>
    <s v="CommVault"/>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84"/>
    <x v="6"/>
    <x v="1"/>
    <s v="CommVault"/>
    <m/>
    <m/>
    <s v="Corporate"/>
    <s v="Yes"/>
    <m/>
    <m/>
    <m/>
    <m/>
    <s v="Yes"/>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84"/>
    <x v="6"/>
    <x v="1"/>
    <m/>
    <m/>
    <m/>
    <s v="Puerto Rico"/>
    <m/>
    <m/>
    <s v="Desktop"/>
    <m/>
    <m/>
    <s v="Yes"/>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85"/>
    <x v="67"/>
    <x v="1"/>
    <s v="CommVault"/>
    <m/>
    <m/>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86"/>
    <x v="68"/>
    <x v="2"/>
    <s v="Claris, Inc."/>
    <m/>
    <m/>
    <s v="US"/>
    <s v="Yes"/>
    <m/>
    <s v="On Premises (Client/Server)"/>
    <m/>
    <s v="Yes"/>
    <m/>
    <m/>
    <m/>
    <s v="Yes"/>
    <m/>
    <s v="Tony Miller"/>
    <d v="2022-02-14T00:00:00"/>
    <s v="Verified via Tony Miller"/>
    <d v="2022-02-14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87"/>
    <x v="6"/>
    <x v="1"/>
    <m/>
    <m/>
    <m/>
    <s v="Puerto Rico"/>
    <m/>
    <m/>
    <m/>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88"/>
    <x v="6"/>
    <x v="1"/>
    <m/>
    <m/>
    <m/>
    <s v="Tullamore"/>
    <m/>
    <m/>
    <m/>
    <m/>
    <m/>
    <m/>
    <m/>
    <m/>
    <m/>
    <m/>
    <m/>
    <m/>
    <s v="Ask Paul James"/>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89"/>
    <x v="69"/>
    <x v="2"/>
    <m/>
    <m/>
    <m/>
    <s v="All US and OUS"/>
    <m/>
    <s v="Other"/>
    <s v="Saas"/>
    <m/>
    <s v="Yes"/>
    <m/>
    <m/>
    <m/>
    <s v="N"/>
    <m/>
    <m/>
    <m/>
    <s v="Eileen Galager"/>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90"/>
    <x v="70"/>
    <x v="2"/>
    <s v="CDW?? Perle??Vague name listed"/>
    <m/>
    <s v="Enterprise"/>
    <m/>
    <s v="Yes"/>
    <m/>
    <m/>
    <m/>
    <m/>
    <m/>
    <m/>
    <m/>
    <s v="No"/>
    <m/>
    <s v="Jeff Gersbach"/>
    <d v="2022-03-01T00:00:00"/>
    <s v="Mar 1, 2022 via Jeff Gersbach"/>
    <d v="2022-03-01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91"/>
    <x v="71"/>
    <x v="1"/>
    <s v="Constant Contact"/>
    <m/>
    <m/>
    <m/>
    <m/>
    <s v="Other"/>
    <m/>
    <m/>
    <m/>
    <m/>
    <m/>
    <m/>
    <m/>
    <m/>
    <m/>
    <m/>
    <s v="Lauren Luchento or Brooke Siefert"/>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92"/>
    <x v="6"/>
    <x v="1"/>
    <s v="Cisco?"/>
    <m/>
    <m/>
    <m/>
    <m/>
    <s v="Other"/>
    <m/>
    <m/>
    <m/>
    <m/>
    <m/>
    <m/>
    <m/>
    <m/>
    <m/>
    <m/>
    <s v="Matt Rugierio"/>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93"/>
    <x v="6"/>
    <x v="1"/>
    <m/>
    <m/>
    <m/>
    <m/>
    <m/>
    <s v="Other"/>
    <m/>
    <m/>
    <m/>
    <m/>
    <m/>
    <m/>
    <m/>
    <m/>
    <m/>
    <m/>
    <s v="Shaolin Liu"/>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94"/>
    <x v="6"/>
    <x v="1"/>
    <s v="Corel"/>
    <m/>
    <m/>
    <s v="Zapopan, MX"/>
    <m/>
    <m/>
    <s v="Desktop"/>
    <m/>
    <m/>
    <m/>
    <m/>
    <m/>
    <s v="N"/>
    <m/>
    <m/>
    <m/>
    <s v="Jesus Mendez"/>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95"/>
    <x v="6"/>
    <x v="9"/>
    <s v="Corel"/>
    <m/>
    <m/>
    <s v="Cincinnati"/>
    <m/>
    <m/>
    <s v="Desktop"/>
    <m/>
    <m/>
    <m/>
    <m/>
    <m/>
    <s v="N"/>
    <m/>
    <m/>
    <m/>
    <s v="Michael Patterson"/>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96"/>
    <x v="72"/>
    <x v="1"/>
    <m/>
    <m/>
    <m/>
    <s v="Corporate"/>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97"/>
    <x v="73"/>
    <x v="1"/>
    <m/>
    <m/>
    <m/>
    <s v="Corporate"/>
    <s v="Yes"/>
    <m/>
    <s v="On Premises (Client/Server)"/>
    <m/>
    <m/>
    <m/>
    <m/>
    <m/>
    <s v="No"/>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98"/>
    <x v="6"/>
    <x v="1"/>
    <s v="Minitab"/>
    <m/>
    <m/>
    <s v="Corporate"/>
    <s v="Yes"/>
    <m/>
    <m/>
    <m/>
    <m/>
    <m/>
    <m/>
    <m/>
    <s v="No"/>
    <m/>
    <m/>
    <m/>
    <s v="server?"/>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99"/>
    <x v="74"/>
    <x v="1"/>
    <m/>
    <m/>
    <m/>
    <s v="Americas - Canada and US"/>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00"/>
    <x v="75"/>
    <x v="1"/>
    <s v="Microsoft"/>
    <m/>
    <m/>
    <s v="Corporate"/>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01"/>
    <x v="6"/>
    <x v="4"/>
    <m/>
    <m/>
    <m/>
    <m/>
    <m/>
    <m/>
    <m/>
    <m/>
    <m/>
    <m/>
    <m/>
    <m/>
    <m/>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102"/>
    <x v="33"/>
    <x v="10"/>
    <s v="SAP"/>
    <m/>
    <m/>
    <s v="Cincinnati, Boston, Waltham"/>
    <m/>
    <m/>
    <s v="Desktop"/>
    <m/>
    <m/>
    <m/>
    <m/>
    <m/>
    <s v="No"/>
    <m/>
    <s v="Michael Patterson"/>
    <d v="2021-11-16T00:00:00"/>
    <s v="Nov 16, 2021 via Michael Patterson"/>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03"/>
    <x v="6"/>
    <x v="1"/>
    <m/>
    <m/>
    <m/>
    <s v="Puerto Rico"/>
    <m/>
    <m/>
    <m/>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04"/>
    <x v="76"/>
    <x v="1"/>
    <s v="CURA"/>
    <m/>
    <m/>
    <s v="Cincinnati"/>
    <s v="Yes"/>
    <m/>
    <m/>
    <m/>
    <m/>
    <m/>
    <m/>
    <m/>
    <s v="No"/>
    <m/>
    <s v="Michael Patterson"/>
    <d v="2021-11-16T00:00:00"/>
    <s v="Verified via Michael Patterson"/>
    <d v="2021-11-16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105"/>
    <x v="6"/>
    <x v="5"/>
    <m/>
    <m/>
    <m/>
    <m/>
    <m/>
    <m/>
    <m/>
    <m/>
    <m/>
    <m/>
    <m/>
    <m/>
    <m/>
    <m/>
    <m/>
    <m/>
    <s v="Graeme Loughlin"/>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06"/>
    <x v="77"/>
    <x v="2"/>
    <s v="CVent"/>
    <m/>
    <m/>
    <m/>
    <m/>
    <s v="Other"/>
    <m/>
    <m/>
    <m/>
    <m/>
    <m/>
    <m/>
    <m/>
    <m/>
    <m/>
    <m/>
    <s v="Lauren Luchento or David Goldsmith"/>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07"/>
    <x v="6"/>
    <x v="1"/>
    <m/>
    <m/>
    <m/>
    <s v="St. Aubin"/>
    <s v="Yes"/>
    <m/>
    <s v="On Premises (Client/Server)"/>
    <m/>
    <m/>
    <m/>
    <m/>
    <m/>
    <m/>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08"/>
    <x v="6"/>
    <x v="1"/>
    <s v="Maintanence Management"/>
    <m/>
    <m/>
    <m/>
    <m/>
    <s v="Other"/>
    <m/>
    <m/>
    <m/>
    <m/>
    <m/>
    <m/>
    <m/>
    <m/>
    <m/>
    <m/>
    <s v="Karen Furlong"/>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09"/>
    <x v="78"/>
    <x v="1"/>
    <s v="CyberLink"/>
    <m/>
    <m/>
    <m/>
    <m/>
    <s v="Other"/>
    <m/>
    <m/>
    <m/>
    <m/>
    <m/>
    <m/>
    <m/>
    <m/>
    <m/>
    <m/>
    <s v="Federico Argento"/>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10"/>
    <x v="79"/>
    <x v="1"/>
    <s v="Symantec + BroadCom"/>
    <m/>
    <s v="Enterprise"/>
    <m/>
    <s v="Yes"/>
    <m/>
    <s v="On Premises (Client/Server)"/>
    <m/>
    <s v="Not SaaS"/>
    <m/>
    <m/>
    <m/>
    <s v="No"/>
    <m/>
    <s v="Trevor Very"/>
    <d v="2021-12-15T00:00:00"/>
    <s v="Verified via Trevor Very"/>
    <d v="2021-12-15T00:00:00"/>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111"/>
    <x v="6"/>
    <x v="5"/>
    <s v="IBM"/>
    <m/>
    <m/>
    <s v="Plainsboro Corp"/>
    <s v="Yes"/>
    <m/>
    <s v="On Premises (Client/Server)"/>
    <m/>
    <m/>
    <m/>
    <m/>
    <m/>
    <s v="N"/>
    <m/>
    <m/>
    <m/>
    <s v="Viral Thakker? Pending decommission. Ask John O'Callaghan"/>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112"/>
    <x v="80"/>
    <x v="2"/>
    <s v="Oracle + DataLoad (JD Stuart Ltd)"/>
    <m/>
    <m/>
    <s v="Cincinnati"/>
    <s v="Yes"/>
    <m/>
    <s v="Desktop"/>
    <m/>
    <m/>
    <m/>
    <m/>
    <m/>
    <s v="No"/>
    <m/>
    <s v="Michael Patterson"/>
    <d v="2021-11-16T00:00:00"/>
    <s v="Verified via Michael Patterson"/>
    <d v="2021-11-16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13"/>
    <x v="6"/>
    <x v="1"/>
    <m/>
    <m/>
    <m/>
    <s v="Puerto Rico"/>
    <m/>
    <m/>
    <s v="Desktop"/>
    <m/>
    <m/>
    <m/>
    <m/>
    <m/>
    <s v="Y"/>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14"/>
    <x v="6"/>
    <x v="1"/>
    <m/>
    <m/>
    <m/>
    <s v="RAT"/>
    <s v="Yes"/>
    <m/>
    <s v="On Premises (Client/Server)"/>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15"/>
    <x v="81"/>
    <x v="1"/>
    <s v="Definitive Healthcare"/>
    <m/>
    <m/>
    <m/>
    <m/>
    <m/>
    <m/>
    <m/>
    <m/>
    <m/>
    <m/>
    <m/>
    <m/>
    <m/>
    <m/>
    <m/>
    <s v="Viral Thakker. Or Amit Singhal"/>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116"/>
    <x v="82"/>
    <x v="1"/>
    <s v="Dell"/>
    <m/>
    <m/>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17"/>
    <x v="83"/>
    <x v="1"/>
    <s v="Demand Works"/>
    <m/>
    <m/>
    <s v="Americas - Austin, TX"/>
    <s v="Yes"/>
    <m/>
    <s v="On Premises (Client/Server)"/>
    <m/>
    <m/>
    <m/>
    <m/>
    <m/>
    <s v="No"/>
    <m/>
    <m/>
    <m/>
    <m/>
    <m/>
    <s v="Demand Forecaste software for Ortho products "/>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118"/>
    <x v="6"/>
    <x v="5"/>
    <s v="Deutsche Bank"/>
    <m/>
    <s v="Enterprise"/>
    <m/>
    <s v="Yes"/>
    <m/>
    <s v="On Premises (Client/Server)"/>
    <m/>
    <m/>
    <m/>
    <m/>
    <m/>
    <m/>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19"/>
    <x v="84"/>
    <x v="1"/>
    <m/>
    <m/>
    <m/>
    <s v="Corporate"/>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20"/>
    <x v="85"/>
    <x v="1"/>
    <m/>
    <m/>
    <m/>
    <m/>
    <m/>
    <s v="Other"/>
    <m/>
    <m/>
    <m/>
    <m/>
    <m/>
    <m/>
    <m/>
    <m/>
    <m/>
    <m/>
    <s v="Matt Cerny (Archana)"/>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121"/>
    <x v="6"/>
    <x v="1"/>
    <m/>
    <m/>
    <m/>
    <m/>
    <m/>
    <m/>
    <m/>
    <m/>
    <m/>
    <m/>
    <m/>
    <m/>
    <m/>
    <m/>
    <m/>
    <m/>
    <s v="more info from Matt Cerny"/>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122"/>
    <x v="6"/>
    <x v="1"/>
    <m/>
    <m/>
    <m/>
    <m/>
    <m/>
    <s v="Other"/>
    <m/>
    <m/>
    <m/>
    <m/>
    <m/>
    <m/>
    <m/>
    <m/>
    <m/>
    <m/>
    <s v="Alicia Williams"/>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123"/>
    <x v="86"/>
    <x v="1"/>
    <m/>
    <m/>
    <s v="Enterprise"/>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24"/>
    <x v="87"/>
    <x v="2"/>
    <s v="Nfront security_x000a_Software company"/>
    <m/>
    <s v="Enterprise"/>
    <m/>
    <s v="Yes"/>
    <m/>
    <m/>
    <m/>
    <m/>
    <m/>
    <m/>
    <m/>
    <s v="No"/>
    <m/>
    <s v="Matthew Cerny"/>
    <d v="2021-11-18T00:00:00"/>
    <s v="Verified via Matthew Cerny"/>
    <d v="2021-11-18T00:00:00"/>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125"/>
    <x v="88"/>
    <x v="2"/>
    <s v="Dimitri van Heesch"/>
    <m/>
    <m/>
    <s v="Billerica"/>
    <m/>
    <m/>
    <s v="Desktop"/>
    <m/>
    <m/>
    <m/>
    <m/>
    <m/>
    <s v="N"/>
    <m/>
    <s v="Gary Beckmann"/>
    <d v="2022-01-20T00:00:00"/>
    <s v="Verified via Gary Beckmann"/>
    <d v="2022-01-20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26"/>
    <x v="6"/>
    <x v="1"/>
    <s v="Adobe"/>
    <m/>
    <m/>
    <s v="St. Aubin"/>
    <m/>
    <m/>
    <s v="Desktop"/>
    <m/>
    <m/>
    <m/>
    <m/>
    <m/>
    <m/>
    <m/>
    <m/>
    <m/>
    <s v="Desktop app- ask German Mesa?"/>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27"/>
    <x v="6"/>
    <x v="0"/>
    <m/>
    <m/>
    <m/>
    <s v="Ghent, BE"/>
    <m/>
    <s v="Other"/>
    <s v="On Line"/>
    <m/>
    <m/>
    <m/>
    <m/>
    <m/>
    <s v="Y"/>
    <m/>
    <m/>
    <m/>
    <s v="Paul James"/>
    <m/>
    <s v="Decommissioned when we stopped ortho kit business"/>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128"/>
    <x v="6"/>
    <x v="1"/>
    <m/>
    <m/>
    <m/>
    <s v="Germany"/>
    <m/>
    <m/>
    <s v="Desktop"/>
    <m/>
    <m/>
    <m/>
    <m/>
    <m/>
    <s v="N"/>
    <m/>
    <m/>
    <m/>
    <s v="Paul Raus"/>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29"/>
    <x v="89"/>
    <x v="1"/>
    <s v="AutoDesk"/>
    <m/>
    <m/>
    <s v="Billerica"/>
    <m/>
    <m/>
    <s v="Desktop"/>
    <m/>
    <m/>
    <m/>
    <m/>
    <m/>
    <s v="N"/>
    <m/>
    <m/>
    <m/>
    <s v="Unknown IS Own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130"/>
    <x v="90"/>
    <x v="2"/>
    <s v="Eagle Vision"/>
    <m/>
    <m/>
    <s v="Cincinnati"/>
    <s v="Yes"/>
    <m/>
    <s v="Desktop"/>
    <m/>
    <m/>
    <m/>
    <m/>
    <m/>
    <s v="No"/>
    <m/>
    <s v="Michael Patterson"/>
    <d v="2021-11-16T00:00:00"/>
    <s v="Verified via Michael Patterson"/>
    <d v="2021-11-16T00:00:00"/>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131"/>
    <x v="6"/>
    <x v="2"/>
    <s v="Tharo"/>
    <m/>
    <m/>
    <s v="Puerto Rico, Boston"/>
    <m/>
    <m/>
    <s v="Desktop"/>
    <m/>
    <m/>
    <m/>
    <m/>
    <m/>
    <s v="Y"/>
    <m/>
    <m/>
    <m/>
    <s v="Jesus Mendez"/>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32"/>
    <x v="6"/>
    <x v="11"/>
    <m/>
    <m/>
    <m/>
    <s v="Germany"/>
    <s v="Yes"/>
    <m/>
    <s v="On Premises (Client/Server)"/>
    <m/>
    <m/>
    <m/>
    <m/>
    <m/>
    <s v="N"/>
    <m/>
    <m/>
    <m/>
    <s v="Paul Raus"/>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33"/>
    <x v="6"/>
    <x v="11"/>
    <s v="Easy Street Software"/>
    <m/>
    <m/>
    <s v="Boston, Waltham"/>
    <m/>
    <m/>
    <s v="Desktop"/>
    <m/>
    <m/>
    <m/>
    <m/>
    <m/>
    <m/>
    <m/>
    <m/>
    <m/>
    <s v="Jeff Gersbach"/>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34"/>
    <x v="91"/>
    <x v="1"/>
    <s v="Kofax"/>
    <m/>
    <m/>
    <s v="Corporate"/>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35"/>
    <x v="6"/>
    <x v="1"/>
    <s v="EDAX, a unit of AMETEK"/>
    <m/>
    <m/>
    <s v="Plainsboro Corp"/>
    <m/>
    <m/>
    <s v="Local"/>
    <m/>
    <m/>
    <m/>
    <m/>
    <m/>
    <s v="Y"/>
    <m/>
    <m/>
    <m/>
    <s v="Kent Lowry"/>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136"/>
    <x v="6"/>
    <x v="1"/>
    <s v="Microsoft"/>
    <m/>
    <m/>
    <s v="All EU"/>
    <s v="Yes"/>
    <m/>
    <s v="On Premises (Client/Server)"/>
    <m/>
    <m/>
    <m/>
    <m/>
    <m/>
    <s v="N"/>
    <m/>
    <m/>
    <m/>
    <s v="Daniel Marabotti"/>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37"/>
    <x v="6"/>
    <x v="1"/>
    <s v="CT, a Wolters Kluwer business"/>
    <m/>
    <m/>
    <s v="Plainsboro Corp"/>
    <m/>
    <s v="Other"/>
    <s v="Saas"/>
    <m/>
    <m/>
    <m/>
    <m/>
    <m/>
    <s v="No"/>
    <m/>
    <m/>
    <m/>
    <s v="Amy Deol"/>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138"/>
    <x v="33"/>
    <x v="1"/>
    <m/>
    <m/>
    <m/>
    <s v="Puerto Rico"/>
    <m/>
    <m/>
    <s v="Desktop"/>
    <m/>
    <m/>
    <m/>
    <m/>
    <m/>
    <s v="Y"/>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39"/>
    <x v="6"/>
    <x v="1"/>
    <m/>
    <m/>
    <m/>
    <m/>
    <m/>
    <s v="Other"/>
    <m/>
    <m/>
    <m/>
    <m/>
    <m/>
    <m/>
    <m/>
    <m/>
    <m/>
    <m/>
    <s v="Check Lansweeper?"/>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140"/>
    <x v="92"/>
    <x v="2"/>
    <s v="IBM"/>
    <m/>
    <s v="Enterprise"/>
    <m/>
    <s v="Yes"/>
    <s v="Azure"/>
    <m/>
    <m/>
    <m/>
    <m/>
    <m/>
    <s v="T1"/>
    <s v="No"/>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141"/>
    <x v="93"/>
    <x v="2"/>
    <s v="Egnyte"/>
    <m/>
    <m/>
    <s v="US"/>
    <m/>
    <m/>
    <s v="SaaS + on-prem"/>
    <m/>
    <m/>
    <s v="Yes"/>
    <s v="LDAP"/>
    <m/>
    <s v="No"/>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42"/>
    <x v="6"/>
    <x v="1"/>
    <s v="Waters"/>
    <m/>
    <m/>
    <s v="Plainsboro, (need to confirm 105)"/>
    <m/>
    <m/>
    <s v="Desktop"/>
    <m/>
    <m/>
    <m/>
    <m/>
    <m/>
    <s v="Y"/>
    <m/>
    <m/>
    <m/>
    <s v="Ask Davinia Londregan"/>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143"/>
    <x v="94"/>
    <x v="1"/>
    <s v="Guidance Software"/>
    <m/>
    <m/>
    <m/>
    <m/>
    <s v="Other"/>
    <m/>
    <m/>
    <m/>
    <m/>
    <m/>
    <m/>
    <m/>
    <m/>
    <m/>
    <m/>
    <s v="Matt Cerny"/>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144"/>
    <x v="95"/>
    <x v="1"/>
    <s v="Epicor"/>
    <m/>
    <m/>
    <m/>
    <m/>
    <s v="Other"/>
    <m/>
    <m/>
    <m/>
    <m/>
    <m/>
    <m/>
    <m/>
    <m/>
    <m/>
    <m/>
    <s v="Brian Sherfey"/>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45"/>
    <x v="96"/>
    <x v="1"/>
    <s v="Epicor"/>
    <m/>
    <m/>
    <m/>
    <m/>
    <m/>
    <m/>
    <m/>
    <m/>
    <m/>
    <m/>
    <m/>
    <m/>
    <m/>
    <m/>
    <m/>
    <s v="Brian Sherfey"/>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46"/>
    <x v="97"/>
    <x v="1"/>
    <s v="Epicor"/>
    <m/>
    <m/>
    <m/>
    <m/>
    <s v="Other"/>
    <m/>
    <m/>
    <m/>
    <m/>
    <m/>
    <m/>
    <m/>
    <m/>
    <m/>
    <m/>
    <s v="Brian Sherfey"/>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47"/>
    <x v="98"/>
    <x v="2"/>
    <s v="etrade"/>
    <m/>
    <m/>
    <s v="Plainsboro Corp"/>
    <m/>
    <s v="Other"/>
    <s v="Saas"/>
    <m/>
    <m/>
    <m/>
    <m/>
    <m/>
    <s v="No"/>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48"/>
    <x v="6"/>
    <x v="1"/>
    <s v="Microsoft"/>
    <m/>
    <m/>
    <s v="All EU"/>
    <s v="Yes"/>
    <m/>
    <s v="On Premises (Client/Server)"/>
    <m/>
    <m/>
    <m/>
    <m/>
    <m/>
    <s v="N"/>
    <m/>
    <m/>
    <m/>
    <s v="Daniel Marabotti"/>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49"/>
    <x v="6"/>
    <x v="1"/>
    <s v="Oracle"/>
    <m/>
    <m/>
    <s v="BIOT"/>
    <s v="Yes"/>
    <m/>
    <s v="On Premises (Client/Server)"/>
    <m/>
    <m/>
    <m/>
    <m/>
    <m/>
    <s v="N"/>
    <m/>
    <m/>
    <m/>
    <s v="Daniel Marabotti"/>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50"/>
    <x v="6"/>
    <x v="5"/>
    <m/>
    <m/>
    <m/>
    <m/>
    <m/>
    <m/>
    <m/>
    <m/>
    <m/>
    <m/>
    <m/>
    <m/>
    <m/>
    <m/>
    <m/>
    <m/>
    <s v="Tracy Redondo"/>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151"/>
    <x v="99"/>
    <x v="1"/>
    <m/>
    <m/>
    <s v="Enterprise"/>
    <m/>
    <s v="Yes"/>
    <m/>
    <s v="On Premises (Client/Server)"/>
    <m/>
    <m/>
    <m/>
    <m/>
    <m/>
    <s v="Yes"/>
    <n v="5"/>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52"/>
    <x v="6"/>
    <x v="1"/>
    <m/>
    <m/>
    <s v="Enterprise"/>
    <m/>
    <s v="Yes"/>
    <m/>
    <m/>
    <m/>
    <m/>
    <m/>
    <m/>
    <m/>
    <s v="Yes"/>
    <n v="5"/>
    <m/>
    <m/>
    <s v="John O'Callaghan"/>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53"/>
    <x v="100"/>
    <x v="2"/>
    <s v="EDQM"/>
    <m/>
    <m/>
    <s v="Anasco, Le Locle"/>
    <m/>
    <s v="Other"/>
    <s v="Web"/>
    <m/>
    <s v="No"/>
    <m/>
    <m/>
    <s v="T4"/>
    <s v="No"/>
    <m/>
    <s v="Sara Oberrecht"/>
    <d v="2021-03-15T00:00:00"/>
    <s v="3/15/21 via Sara Oberrecht"/>
    <d v="2021-03-15T00:00:00"/>
    <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154"/>
    <x v="6"/>
    <x v="5"/>
    <s v="Pharmatic"/>
    <m/>
    <m/>
    <s v="Lyon"/>
    <m/>
    <m/>
    <s v="Desktop"/>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55"/>
    <x v="101"/>
    <x v="1"/>
    <s v="Exact"/>
    <m/>
    <m/>
    <m/>
    <m/>
    <s v="Other"/>
    <m/>
    <m/>
    <m/>
    <m/>
    <m/>
    <m/>
    <m/>
    <m/>
    <m/>
    <m/>
    <s v="George Groo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56"/>
    <x v="6"/>
    <x v="4"/>
    <m/>
    <m/>
    <m/>
    <m/>
    <m/>
    <m/>
    <m/>
    <m/>
    <m/>
    <m/>
    <m/>
    <m/>
    <s v="Yes"/>
    <n v="5"/>
    <s v="Kevin McParland"/>
    <d v="2022-05-12T00:00:00"/>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57"/>
    <x v="102"/>
    <x v="1"/>
    <s v="Microsoft"/>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58"/>
    <x v="103"/>
    <x v="1"/>
    <s v="Microsoft"/>
    <m/>
    <m/>
    <m/>
    <m/>
    <s v="Other"/>
    <m/>
    <m/>
    <m/>
    <m/>
    <m/>
    <m/>
    <m/>
    <m/>
    <m/>
    <m/>
    <s v="Decommissioned"/>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59"/>
    <x v="104"/>
    <x v="1"/>
    <s v="ExpenseWatch.com"/>
    <m/>
    <m/>
    <m/>
    <m/>
    <s v="Other"/>
    <m/>
    <m/>
    <m/>
    <m/>
    <m/>
    <m/>
    <m/>
    <m/>
    <m/>
    <m/>
    <s v="Eileen Galager"/>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60"/>
    <x v="6"/>
    <x v="1"/>
    <s v="CyberMetrics"/>
    <m/>
    <m/>
    <m/>
    <m/>
    <s v="Other"/>
    <m/>
    <m/>
    <m/>
    <m/>
    <m/>
    <m/>
    <m/>
    <m/>
    <m/>
    <m/>
    <s v="Karen Furlong"/>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61"/>
    <x v="105"/>
    <x v="2"/>
    <s v="FedEX"/>
    <m/>
    <m/>
    <s v="Cincinnati, St Paul, Plainsboro"/>
    <s v="Yes"/>
    <m/>
    <s v="Desktop"/>
    <m/>
    <m/>
    <m/>
    <m/>
    <m/>
    <s v="No"/>
    <m/>
    <s v="Michael Patterson"/>
    <d v="2021-11-16T00:00:00"/>
    <s v="Verified via Michael Patterson"/>
    <d v="2021-11-16T00:00:00"/>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162"/>
    <x v="106"/>
    <x v="8"/>
    <s v="C2S"/>
    <m/>
    <m/>
    <s v="Dublin, Biot, Ratingen"/>
    <s v="Yes"/>
    <m/>
    <s v="On Premises (Client/Server)"/>
    <m/>
    <m/>
    <m/>
    <m/>
    <m/>
    <s v="N"/>
    <m/>
    <m/>
    <m/>
    <s v="Federico / German Mesa"/>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63"/>
    <x v="107"/>
    <x v="1"/>
    <m/>
    <m/>
    <m/>
    <s v="Corporate, Canada"/>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63"/>
    <x v="108"/>
    <x v="1"/>
    <m/>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64"/>
    <x v="6"/>
    <x v="1"/>
    <s v="FileMaker"/>
    <m/>
    <m/>
    <s v="Billerica"/>
    <s v="Yes"/>
    <m/>
    <s v="On Premises (Client/Server)"/>
    <m/>
    <m/>
    <m/>
    <m/>
    <m/>
    <s v="N"/>
    <m/>
    <m/>
    <m/>
    <s v="changed IS Own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65"/>
    <x v="109"/>
    <x v="1"/>
    <s v="Zoho + Finance Plus"/>
    <m/>
    <m/>
    <s v="Australia"/>
    <s v="Yes"/>
    <m/>
    <s v="On Premises (Client/Server)"/>
    <m/>
    <m/>
    <m/>
    <m/>
    <m/>
    <s v="N"/>
    <m/>
    <s v="Paul Omond"/>
    <d v="2021-11-30T00:00:00"/>
    <s v="Verified by Paul Omond"/>
    <d v="2021-11-30T00:00:00"/>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66"/>
    <x v="6"/>
    <x v="1"/>
    <m/>
    <m/>
    <m/>
    <m/>
    <m/>
    <s v="Other"/>
    <m/>
    <m/>
    <m/>
    <m/>
    <m/>
    <m/>
    <m/>
    <m/>
    <m/>
    <m/>
    <s v="Eileen Galag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67"/>
    <x v="6"/>
    <x v="2"/>
    <m/>
    <m/>
    <m/>
    <m/>
    <m/>
    <s v="Other"/>
    <s v="Saas"/>
    <m/>
    <m/>
    <m/>
    <m/>
    <m/>
    <m/>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168"/>
    <x v="6"/>
    <x v="1"/>
    <s v="FLIR Systems"/>
    <m/>
    <m/>
    <s v="Billerica"/>
    <m/>
    <m/>
    <s v="Desktop"/>
    <m/>
    <m/>
    <m/>
    <m/>
    <m/>
    <s v="N"/>
    <m/>
    <m/>
    <m/>
    <s v="changed IS Owner"/>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169"/>
    <x v="6"/>
    <x v="1"/>
    <s v="Mentor Graphics, a Siemens Business"/>
    <m/>
    <m/>
    <s v="Billerica"/>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170"/>
    <x v="6"/>
    <x v="1"/>
    <s v="Fortres Grand"/>
    <m/>
    <m/>
    <s v="Plainsboro 105"/>
    <s v="Yes"/>
    <m/>
    <s v="CPU Licensed"/>
    <m/>
    <m/>
    <m/>
    <m/>
    <m/>
    <s v="Y"/>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71"/>
    <x v="6"/>
    <x v="1"/>
    <m/>
    <m/>
    <m/>
    <s v="Puerto Rico"/>
    <m/>
    <m/>
    <s v="Desktop"/>
    <m/>
    <m/>
    <m/>
    <m/>
    <m/>
    <s v="Y"/>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172"/>
    <x v="6"/>
    <x v="1"/>
    <m/>
    <m/>
    <m/>
    <m/>
    <m/>
    <s v="Other"/>
    <m/>
    <m/>
    <m/>
    <m/>
    <m/>
    <m/>
    <m/>
    <m/>
    <m/>
    <m/>
    <s v="Somdatta Das"/>
    <m/>
    <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173"/>
    <x v="110"/>
    <x v="1"/>
    <s v="GMP Graphics?"/>
    <m/>
    <m/>
    <s v="Corporate (Building 105)"/>
    <s v="Yes"/>
    <m/>
    <s v="On Premises (Client/Server)"/>
    <m/>
    <m/>
    <m/>
    <m/>
    <m/>
    <s v="Yes"/>
    <m/>
    <m/>
    <m/>
    <s v="server?"/>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74"/>
    <x v="6"/>
    <x v="1"/>
    <s v="PQ Systems"/>
    <m/>
    <m/>
    <s v="Billerica"/>
    <m/>
    <m/>
    <s v="Desktop"/>
    <m/>
    <m/>
    <m/>
    <m/>
    <m/>
    <s v="Y"/>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75"/>
    <x v="6"/>
    <x v="1"/>
    <m/>
    <m/>
    <m/>
    <m/>
    <m/>
    <s v="Other"/>
    <m/>
    <m/>
    <m/>
    <m/>
    <m/>
    <m/>
    <m/>
    <m/>
    <m/>
    <m/>
    <s v="German Mesa"/>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76"/>
    <x v="43"/>
    <x v="1"/>
    <s v="GE"/>
    <m/>
    <m/>
    <s v="Cincinnati"/>
    <s v="Yes"/>
    <m/>
    <s v="Desktop"/>
    <m/>
    <m/>
    <m/>
    <m/>
    <m/>
    <s v="NA"/>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77"/>
    <x v="6"/>
    <x v="1"/>
    <s v="EDAX"/>
    <m/>
    <m/>
    <s v="Plainsboro Corp"/>
    <m/>
    <m/>
    <s v="Local"/>
    <m/>
    <m/>
    <m/>
    <m/>
    <m/>
    <s v="Y"/>
    <m/>
    <m/>
    <m/>
    <s v="David Sheleheda"/>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178"/>
    <x v="6"/>
    <x v="2"/>
    <m/>
    <m/>
    <m/>
    <m/>
    <m/>
    <m/>
    <m/>
    <m/>
    <m/>
    <m/>
    <m/>
    <m/>
    <s v="Yes"/>
    <m/>
    <s v="Kevin McParland"/>
    <d v="2022-05-12T00:00:00"/>
    <m/>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179"/>
    <x v="6"/>
    <x v="4"/>
    <m/>
    <m/>
    <m/>
    <m/>
    <m/>
    <m/>
    <m/>
    <m/>
    <m/>
    <m/>
    <m/>
    <m/>
    <s v="Yes"/>
    <n v="3"/>
    <s v="Kevin McParland"/>
    <d v="2022-05-12T00:00:00"/>
    <m/>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180"/>
    <x v="111"/>
    <x v="1"/>
    <s v="GibbsCAM"/>
    <m/>
    <m/>
    <s v="Cincinnati"/>
    <s v="Yes"/>
    <m/>
    <s v="Desktop"/>
    <m/>
    <m/>
    <m/>
    <m/>
    <m/>
    <s v="No"/>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81"/>
    <x v="112"/>
    <x v="1"/>
    <s v="GIMP"/>
    <m/>
    <m/>
    <m/>
    <m/>
    <s v="Other"/>
    <m/>
    <m/>
    <m/>
    <m/>
    <m/>
    <m/>
    <m/>
    <m/>
    <m/>
    <m/>
    <s v="Chris Barnes"/>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82"/>
    <x v="6"/>
    <x v="1"/>
    <s v="GIOS"/>
    <m/>
    <m/>
    <s v="Puerto Rico"/>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83"/>
    <x v="113"/>
    <x v="1"/>
    <s v="Google"/>
    <m/>
    <m/>
    <m/>
    <m/>
    <s v="Other"/>
    <m/>
    <m/>
    <m/>
    <m/>
    <m/>
    <m/>
    <m/>
    <m/>
    <m/>
    <m/>
    <s v="Abdul Aziz"/>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84"/>
    <x v="114"/>
    <x v="1"/>
    <s v="LogMeIn GoToMeeting"/>
    <m/>
    <m/>
    <m/>
    <m/>
    <s v="Other"/>
    <m/>
    <m/>
    <m/>
    <m/>
    <m/>
    <m/>
    <m/>
    <m/>
    <m/>
    <m/>
    <s v="Matt Rugierio- asked if completed replaced"/>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85"/>
    <x v="6"/>
    <x v="1"/>
    <m/>
    <m/>
    <m/>
    <m/>
    <m/>
    <s v="OCI"/>
    <s v="OCI"/>
    <m/>
    <m/>
    <m/>
    <m/>
    <m/>
    <m/>
    <m/>
    <m/>
    <m/>
    <s v="Laetitia Delolme"/>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186"/>
    <x v="6"/>
    <x v="1"/>
    <s v="Ashlar-Vellum"/>
    <m/>
    <m/>
    <s v="Billerica"/>
    <m/>
    <m/>
    <s v="Desktop"/>
    <m/>
    <m/>
    <m/>
    <m/>
    <m/>
    <s v="N"/>
    <m/>
    <m/>
    <m/>
    <s v="Chris Barnes"/>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187"/>
    <x v="115"/>
    <x v="2"/>
    <s v="Graphpad Software LLC"/>
    <s v="https://www.graphpad.com/"/>
    <s v="Site Specific"/>
    <s v="Plainsboro 104"/>
    <s v="??"/>
    <m/>
    <m/>
    <m/>
    <m/>
    <s v="Yes"/>
    <s v="LDAP"/>
    <s v="T3"/>
    <s v="No"/>
    <m/>
    <s v="Dave Croson"/>
    <d v="2025-10-01T00:00:00"/>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188"/>
    <x v="6"/>
    <x v="1"/>
    <s v="Gravotech Inc."/>
    <m/>
    <m/>
    <s v="Cincinnati"/>
    <m/>
    <m/>
    <s v="Desktop"/>
    <m/>
    <m/>
    <m/>
    <m/>
    <m/>
    <s v="N"/>
    <m/>
    <m/>
    <m/>
    <s v="Michael Patterson"/>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189"/>
    <x v="116"/>
    <x v="1"/>
    <s v="Crawford Software"/>
    <m/>
    <m/>
    <m/>
    <m/>
    <s v="Other"/>
    <m/>
    <m/>
    <m/>
    <m/>
    <m/>
    <m/>
    <m/>
    <m/>
    <m/>
    <m/>
    <s v="George Groom -&gt; Tushar or John O' Callaghan"/>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90"/>
    <x v="117"/>
    <x v="1"/>
    <s v="Cornerstone + Halogen Software / Saba Software Inc."/>
    <m/>
    <m/>
    <m/>
    <m/>
    <s v="Other"/>
    <m/>
    <m/>
    <m/>
    <m/>
    <m/>
    <m/>
    <m/>
    <m/>
    <m/>
    <m/>
    <s v="Norma Frahn // Radhi Rao"/>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91"/>
    <x v="6"/>
    <x v="1"/>
    <m/>
    <m/>
    <m/>
    <s v="St. Aubin"/>
    <m/>
    <m/>
    <m/>
    <m/>
    <m/>
    <m/>
    <m/>
    <m/>
    <m/>
    <m/>
    <m/>
    <m/>
    <s v="German Mesa"/>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92"/>
    <x v="6"/>
    <x v="1"/>
    <m/>
    <m/>
    <m/>
    <s v="Puerto Rico"/>
    <m/>
    <m/>
    <s v="Desktop"/>
    <m/>
    <m/>
    <m/>
    <m/>
    <m/>
    <s v="N"/>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93"/>
    <x v="118"/>
    <x v="1"/>
    <m/>
    <m/>
    <m/>
    <m/>
    <m/>
    <s v="Other"/>
    <m/>
    <m/>
    <m/>
    <m/>
    <m/>
    <m/>
    <m/>
    <m/>
    <m/>
    <m/>
    <s v="Julia Ulreich"/>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94"/>
    <x v="119"/>
    <x v="12"/>
    <s v="Oracle? Hyperion FInancial?"/>
    <m/>
    <s v="Enterprise"/>
    <s v="Global (including Australia)"/>
    <s v="Yes"/>
    <m/>
    <s v="On Premises (Client/Server)"/>
    <m/>
    <m/>
    <s v="Yes"/>
    <s v="LDAP"/>
    <s v="T1?"/>
    <s v="No"/>
    <m/>
    <m/>
    <m/>
    <s v="Vincent Lu"/>
    <d v="2023-05-10T00:00:00"/>
    <s v="Decommissioned no longer in  use"/>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95"/>
    <x v="6"/>
    <x v="1"/>
    <m/>
    <m/>
    <m/>
    <m/>
    <m/>
    <m/>
    <m/>
    <m/>
    <m/>
    <m/>
    <m/>
    <s v="T1?"/>
    <m/>
    <m/>
    <m/>
    <m/>
    <m/>
    <m/>
    <s v="Decommissioned no longer in  use"/>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96"/>
    <x v="6"/>
    <x v="1"/>
    <m/>
    <m/>
    <m/>
    <m/>
    <m/>
    <m/>
    <m/>
    <m/>
    <m/>
    <m/>
    <m/>
    <s v="T1?"/>
    <m/>
    <m/>
    <m/>
    <m/>
    <m/>
    <m/>
    <s v="Decommissioned no longer in  use"/>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197"/>
    <x v="6"/>
    <x v="1"/>
    <s v="Bunkspeed"/>
    <m/>
    <m/>
    <s v="Billerica"/>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198"/>
    <x v="120"/>
    <x v="2"/>
    <s v="IAR"/>
    <m/>
    <m/>
    <s v="Billerica"/>
    <s v="Yes"/>
    <m/>
    <s v="Desktop"/>
    <m/>
    <s v="N/A"/>
    <m/>
    <m/>
    <m/>
    <s v="N/A"/>
    <m/>
    <s v="Gary Beckmann"/>
    <d v="2022-01-31T00:00:00"/>
    <s v="via Gary Beckmann"/>
    <d v="2022-01-31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199"/>
    <x v="121"/>
    <x v="1"/>
    <s v="IBM"/>
    <m/>
    <m/>
    <s v="Corporate"/>
    <s v="Yes"/>
    <m/>
    <s v="On Premises (Client/Server)"/>
    <m/>
    <m/>
    <m/>
    <m/>
    <m/>
    <s v="Yes"/>
    <m/>
    <m/>
    <m/>
    <s v="server?"/>
    <m/>
    <s v="This was IBM Optim server we did not renew the licenses no longer in use "/>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00"/>
    <x v="121"/>
    <x v="1"/>
    <s v="IBM"/>
    <m/>
    <m/>
    <s v="Corporate"/>
    <s v="Yes"/>
    <m/>
    <s v="On Premises (Client/Server)"/>
    <m/>
    <m/>
    <m/>
    <m/>
    <m/>
    <s v="Yes"/>
    <m/>
    <m/>
    <m/>
    <m/>
    <m/>
    <s v="This was IBM Optim server we did not renew the licenses no longer in use "/>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01"/>
    <x v="122"/>
    <x v="1"/>
    <s v="IBM"/>
    <m/>
    <m/>
    <m/>
    <m/>
    <m/>
    <m/>
    <m/>
    <m/>
    <m/>
    <m/>
    <m/>
    <m/>
    <m/>
    <m/>
    <m/>
    <s v="Viral Thakker"/>
    <m/>
    <s v="This was IBM Optim server we did not renew the licenses no longer in use "/>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02"/>
    <x v="6"/>
    <x v="1"/>
    <s v="IBM?"/>
    <m/>
    <m/>
    <s v="Corporate"/>
    <s v="Yes"/>
    <m/>
    <m/>
    <m/>
    <m/>
    <m/>
    <m/>
    <m/>
    <s v="Yes"/>
    <m/>
    <m/>
    <m/>
    <s v="Viral Thakker"/>
    <m/>
    <s v="This was IBM Optim server we did not renew the licenses no longer in use "/>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03"/>
    <x v="123"/>
    <x v="1"/>
    <s v="IBM?"/>
    <m/>
    <m/>
    <s v="Corporate (Building 105/109)"/>
    <s v="Yes"/>
    <m/>
    <m/>
    <m/>
    <m/>
    <m/>
    <m/>
    <m/>
    <s v="Yes"/>
    <m/>
    <m/>
    <m/>
    <s v="David Z"/>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04"/>
    <x v="6"/>
    <x v="0"/>
    <s v="iCare"/>
    <m/>
    <m/>
    <s v="Europe"/>
    <m/>
    <s v="Other"/>
    <s v="Web"/>
    <m/>
    <m/>
    <m/>
    <m/>
    <m/>
    <s v="N"/>
    <m/>
    <m/>
    <m/>
    <m/>
    <m/>
    <s v="System used at the time of Movex in EMEA (Finance interco invoice calculation)"/>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05"/>
    <x v="6"/>
    <x v="8"/>
    <s v="iCIMS"/>
    <m/>
    <m/>
    <m/>
    <m/>
    <s v="Other"/>
    <s v="Saas"/>
    <m/>
    <m/>
    <m/>
    <m/>
    <m/>
    <m/>
    <m/>
    <m/>
    <m/>
    <s v="Norma Frahn"/>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206"/>
    <x v="124"/>
    <x v="1"/>
    <m/>
    <m/>
    <m/>
    <m/>
    <m/>
    <s v="Other"/>
    <m/>
    <m/>
    <m/>
    <m/>
    <m/>
    <m/>
    <m/>
    <m/>
    <m/>
    <m/>
    <m/>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207"/>
    <x v="6"/>
    <x v="1"/>
    <m/>
    <m/>
    <m/>
    <s v="St. Aubin"/>
    <m/>
    <s v="Other"/>
    <m/>
    <m/>
    <m/>
    <m/>
    <m/>
    <m/>
    <m/>
    <m/>
    <m/>
    <m/>
    <m/>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208"/>
    <x v="6"/>
    <x v="1"/>
    <m/>
    <m/>
    <m/>
    <s v="Plainsboro Corp, Plainsboro 105"/>
    <s v="Yes"/>
    <m/>
    <m/>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09"/>
    <x v="6"/>
    <x v="1"/>
    <s v="Li-Cor"/>
    <m/>
    <m/>
    <s v="Plainsboro Corp"/>
    <s v="Yes"/>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10"/>
    <x v="6"/>
    <x v="1"/>
    <s v="ImageCraft"/>
    <m/>
    <m/>
    <s v="Billerica"/>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211"/>
    <x v="6"/>
    <x v="1"/>
    <s v="National Institutes of Health"/>
    <m/>
    <m/>
    <s v="Plainsboro Corp"/>
    <s v="Yes"/>
    <m/>
    <s v="Local"/>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12"/>
    <x v="6"/>
    <x v="1"/>
    <s v="ImageWare"/>
    <m/>
    <m/>
    <s v="Puerto Rico"/>
    <s v="Yes"/>
    <m/>
    <s v="On Premises (Client/Server)"/>
    <m/>
    <m/>
    <m/>
    <m/>
    <m/>
    <s v="Y"/>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13"/>
    <x v="125"/>
    <x v="1"/>
    <s v="Microsoft"/>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14"/>
    <x v="126"/>
    <x v="1"/>
    <s v="Informatica"/>
    <m/>
    <m/>
    <m/>
    <m/>
    <s v="Other"/>
    <m/>
    <m/>
    <m/>
    <m/>
    <m/>
    <m/>
    <m/>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15"/>
    <x v="127"/>
    <x v="2"/>
    <m/>
    <m/>
    <m/>
    <s v="Corporate"/>
    <s v="Yes"/>
    <m/>
    <m/>
    <m/>
    <m/>
    <m/>
    <m/>
    <m/>
    <s v="No"/>
    <m/>
    <s v="John Feist"/>
    <d v="2022-01-19T00:00:00"/>
    <s v="Jan 19, 2022 via John Feist. Also, server?"/>
    <d v="2022-01-19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16"/>
    <x v="128"/>
    <x v="1"/>
    <m/>
    <m/>
    <m/>
    <s v="Cincinnati"/>
    <s v="Yes"/>
    <m/>
    <s v="Desktop"/>
    <m/>
    <m/>
    <m/>
    <m/>
    <m/>
    <s v="Y"/>
    <m/>
    <s v="Michael Patterson"/>
    <d v="2021-11-16T00:00:00"/>
    <s v="via Michael Patterson"/>
    <d v="2021-11-16T00:00:00"/>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17"/>
    <x v="129"/>
    <x v="2"/>
    <s v="partnerwithshyft"/>
    <m/>
    <s v="Enterprise"/>
    <m/>
    <m/>
    <s v="Azure"/>
    <s v="Desktop; Web; IOS"/>
    <m/>
    <s v="In progress"/>
    <m/>
    <m/>
    <s v="T2/T3"/>
    <s v="No"/>
    <m/>
    <s v="Brooke Siefert; Vincent Lu; David Zaruduski"/>
    <d v="2022-03-31T00:00:00"/>
    <s v="via Brooke Siefert; Vincent Lu; David Zaruduski"/>
    <d v="2022-03-31T00:00:00"/>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218"/>
    <x v="6"/>
    <x v="1"/>
    <m/>
    <m/>
    <m/>
    <s v="Plainsboro Corp"/>
    <s v="Yes"/>
    <m/>
    <s v="Local"/>
    <m/>
    <m/>
    <m/>
    <m/>
    <m/>
    <s v="In Progress"/>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19"/>
    <x v="130"/>
    <x v="1"/>
    <m/>
    <m/>
    <m/>
    <m/>
    <m/>
    <m/>
    <m/>
    <m/>
    <m/>
    <m/>
    <m/>
    <m/>
    <m/>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220"/>
    <x v="130"/>
    <x v="1"/>
    <m/>
    <m/>
    <m/>
    <m/>
    <m/>
    <m/>
    <m/>
    <m/>
    <m/>
    <m/>
    <m/>
    <m/>
    <m/>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221"/>
    <x v="6"/>
    <x v="1"/>
    <m/>
    <m/>
    <m/>
    <m/>
    <m/>
    <m/>
    <m/>
    <m/>
    <m/>
    <m/>
    <m/>
    <m/>
    <m/>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222"/>
    <x v="6"/>
    <x v="1"/>
    <s v="Avaya"/>
    <m/>
    <m/>
    <s v="Billerica"/>
    <s v="Yes"/>
    <m/>
    <s v="Desktop/Client 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23"/>
    <x v="6"/>
    <x v="1"/>
    <s v="Avaya"/>
    <m/>
    <m/>
    <s v="Billerica"/>
    <m/>
    <m/>
    <s v="Desktop/Client 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24"/>
    <x v="131"/>
    <x v="1"/>
    <m/>
    <m/>
    <s v="Enterprise"/>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25"/>
    <x v="132"/>
    <x v="13"/>
    <m/>
    <m/>
    <m/>
    <s v="Salt Lake city"/>
    <m/>
    <m/>
    <s v="Desktop"/>
    <m/>
    <m/>
    <m/>
    <m/>
    <m/>
    <s v="N"/>
    <m/>
    <s v="Dave Croson"/>
    <s v="Jan 19 2022"/>
    <s v="Jan 19, 2022 via Dave Croson"/>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26"/>
    <x v="133"/>
    <x v="1"/>
    <m/>
    <m/>
    <m/>
    <m/>
    <m/>
    <m/>
    <m/>
    <m/>
    <m/>
    <m/>
    <m/>
    <m/>
    <m/>
    <m/>
    <m/>
    <m/>
    <s v="Has been been sunset yet? Also, server?"/>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227"/>
    <x v="6"/>
    <x v="1"/>
    <m/>
    <m/>
    <s v="Enterprise"/>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28"/>
    <x v="134"/>
    <x v="1"/>
    <m/>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29"/>
    <x v="33"/>
    <x v="1"/>
    <m/>
    <m/>
    <m/>
    <s v="St. Aubin"/>
    <s v="Yes"/>
    <m/>
    <m/>
    <m/>
    <m/>
    <m/>
    <m/>
    <m/>
    <m/>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230"/>
    <x v="33"/>
    <x v="1"/>
    <s v="ADP"/>
    <m/>
    <m/>
    <s v="St. Aubin"/>
    <m/>
    <s v="Other"/>
    <s v="Saas"/>
    <m/>
    <m/>
    <m/>
    <m/>
    <m/>
    <m/>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231"/>
    <x v="6"/>
    <x v="2"/>
    <s v="Oracle"/>
    <m/>
    <m/>
    <s v="Global"/>
    <s v="Yes"/>
    <m/>
    <m/>
    <m/>
    <m/>
    <m/>
    <m/>
    <m/>
    <m/>
    <m/>
    <m/>
    <m/>
    <m/>
    <m/>
    <s v="Client to access Oracle screen"/>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32"/>
    <x v="6"/>
    <x v="1"/>
    <m/>
    <m/>
    <m/>
    <s v="St. Aubin"/>
    <s v="Yes"/>
    <m/>
    <s v="Desktop app"/>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33"/>
    <x v="6"/>
    <x v="1"/>
    <m/>
    <m/>
    <m/>
    <s v="Corporate"/>
    <s v="Yes"/>
    <m/>
    <m/>
    <m/>
    <m/>
    <m/>
    <m/>
    <m/>
    <s v="No"/>
    <m/>
    <m/>
    <m/>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234"/>
    <x v="6"/>
    <x v="1"/>
    <s v="JP Morgan"/>
    <m/>
    <m/>
    <s v="Dublin"/>
    <s v="Yes"/>
    <m/>
    <s v="Saas"/>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235"/>
    <x v="135"/>
    <x v="2"/>
    <m/>
    <m/>
    <m/>
    <m/>
    <m/>
    <m/>
    <m/>
    <m/>
    <m/>
    <s v="Yes"/>
    <s v="Kerberos"/>
    <m/>
    <m/>
    <m/>
    <s v="Vincent Lu"/>
    <d v="2023-03-16T00:00:00"/>
    <m/>
    <m/>
    <s v="Kanaka: TW MIR Reports are stored in this drive from where business accesses it. K:\Quality Systems\Corporate Complaints\eMDV_X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36"/>
    <x v="136"/>
    <x v="2"/>
    <s v="Kallik"/>
    <m/>
    <m/>
    <s v="Multi-Site"/>
    <m/>
    <s v="Other"/>
    <s v="Saas"/>
    <m/>
    <m/>
    <s v="No"/>
    <m/>
    <s v="T1 (Kallik printing)"/>
    <s v="Yes"/>
    <m/>
    <m/>
    <m/>
    <m/>
    <m/>
    <s v="FETQ"/>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237"/>
    <x v="137"/>
    <x v="2"/>
    <s v="Kallik"/>
    <m/>
    <s v="Enterprise"/>
    <m/>
    <s v="Yes"/>
    <m/>
    <m/>
    <m/>
    <m/>
    <s v="No"/>
    <m/>
    <s v="T1?"/>
    <s v="Yes"/>
    <m/>
    <s v="Kishor Patel"/>
    <d v="2021-11-22T00:00:00"/>
    <s v="via Kishor Patel"/>
    <d v="2021-11-22T00:00:00"/>
    <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238"/>
    <x v="138"/>
    <x v="1"/>
    <s v="J.J. Keller Online &amp; Associates"/>
    <m/>
    <m/>
    <m/>
    <m/>
    <s v="Other"/>
    <m/>
    <m/>
    <m/>
    <m/>
    <m/>
    <m/>
    <m/>
    <m/>
    <m/>
    <m/>
    <m/>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39"/>
    <x v="139"/>
    <x v="1"/>
    <s v="Keri Systems"/>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40"/>
    <x v="6"/>
    <x v="1"/>
    <s v="KeyScan"/>
    <m/>
    <m/>
    <s v="Puerto Rico"/>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41"/>
    <x v="6"/>
    <x v="1"/>
    <s v="L&amp;L Kiln Mfg Inc"/>
    <m/>
    <m/>
    <s v="Plainsboro Corp, Plainsboro 105"/>
    <s v="Yes"/>
    <m/>
    <m/>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42"/>
    <x v="6"/>
    <x v="1"/>
    <s v="Microsoft?"/>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43"/>
    <x v="140"/>
    <x v="1"/>
    <s v="Alaris World"/>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44"/>
    <x v="6"/>
    <x v="1"/>
    <m/>
    <m/>
    <m/>
    <s v="Puerto Rico"/>
    <s v="Yes"/>
    <m/>
    <m/>
    <m/>
    <m/>
    <m/>
    <m/>
    <m/>
    <s v="Y"/>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45"/>
    <x v="6"/>
    <x v="1"/>
    <m/>
    <m/>
    <m/>
    <s v="Biot"/>
    <s v="Yes"/>
    <m/>
    <m/>
    <m/>
    <m/>
    <m/>
    <m/>
    <m/>
    <m/>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46"/>
    <x v="6"/>
    <x v="1"/>
    <s v="Sato international PTE. LTD."/>
    <m/>
    <m/>
    <s v="Zapopan, MX"/>
    <s v="Yes"/>
    <m/>
    <s v="Desktop"/>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47"/>
    <x v="141"/>
    <x v="1"/>
    <s v="LabTech Software"/>
    <m/>
    <m/>
    <m/>
    <s v="Yes"/>
    <m/>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48"/>
    <x v="6"/>
    <x v="1"/>
    <s v="National Instruments"/>
    <m/>
    <m/>
    <s v="Billerica"/>
    <s v="Yes"/>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249"/>
    <x v="142"/>
    <x v="1"/>
    <s v="LanSweeper"/>
    <m/>
    <s v="Enterprise"/>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50"/>
    <x v="143"/>
    <x v="0"/>
    <s v="Nicholson Business Systems"/>
    <m/>
    <m/>
    <m/>
    <m/>
    <s v="Other"/>
    <m/>
    <m/>
    <m/>
    <m/>
    <m/>
    <m/>
    <m/>
    <m/>
    <m/>
    <m/>
    <m/>
    <m/>
    <s v="System decommissioned in May 2025 (move to Agiloft). Data copied on SQL server."/>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51"/>
    <x v="144"/>
    <x v="0"/>
    <s v="Mitratech"/>
    <m/>
    <m/>
    <s v="Multi-Site"/>
    <m/>
    <s v="Other"/>
    <s v="Saas"/>
    <m/>
    <m/>
    <m/>
    <m/>
    <m/>
    <s v="No"/>
    <m/>
    <m/>
    <m/>
    <m/>
    <m/>
    <s v="System decommissioned in May 2025 (move to Agiloft). Data copied on SQL server."/>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52"/>
    <x v="6"/>
    <x v="1"/>
    <m/>
    <m/>
    <m/>
    <s v="Puerto Rico"/>
    <s v="Yes"/>
    <m/>
    <m/>
    <m/>
    <m/>
    <m/>
    <m/>
    <m/>
    <s v="Y"/>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53"/>
    <x v="145"/>
    <x v="1"/>
    <s v="CPA Global"/>
    <m/>
    <m/>
    <s v="Plainsboro Corp"/>
    <m/>
    <s v="Other"/>
    <s v="On Premises (Client/Server)"/>
    <m/>
    <m/>
    <m/>
    <m/>
    <m/>
    <s v="No"/>
    <m/>
    <m/>
    <m/>
    <m/>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54"/>
    <x v="6"/>
    <x v="1"/>
    <m/>
    <m/>
    <m/>
    <m/>
    <m/>
    <s v="Other"/>
    <m/>
    <m/>
    <m/>
    <m/>
    <m/>
    <m/>
    <m/>
    <m/>
    <m/>
    <m/>
    <m/>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55"/>
    <x v="6"/>
    <x v="1"/>
    <m/>
    <m/>
    <m/>
    <s v="Plainsboro 105"/>
    <s v="Yes"/>
    <m/>
    <m/>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56"/>
    <x v="6"/>
    <x v="14"/>
    <m/>
    <m/>
    <m/>
    <s v="Ratingen"/>
    <m/>
    <m/>
    <m/>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257"/>
    <x v="6"/>
    <x v="14"/>
    <m/>
    <m/>
    <m/>
    <s v="Ratingen"/>
    <m/>
    <m/>
    <m/>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258"/>
    <x v="146"/>
    <x v="1"/>
    <s v="Liaison"/>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59"/>
    <x v="147"/>
    <x v="1"/>
    <m/>
    <m/>
    <m/>
    <m/>
    <m/>
    <s v="Other"/>
    <m/>
    <m/>
    <m/>
    <m/>
    <m/>
    <m/>
    <m/>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60"/>
    <x v="6"/>
    <x v="1"/>
    <m/>
    <m/>
    <m/>
    <m/>
    <m/>
    <s v="Other"/>
    <m/>
    <m/>
    <m/>
    <m/>
    <m/>
    <m/>
    <m/>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261"/>
    <x v="148"/>
    <x v="1"/>
    <m/>
    <m/>
    <m/>
    <s v="Used in Ireland for the US operations. Accounts receivable in Corp has access to use the system in case Ireland is unable to use it."/>
    <s v="Yes"/>
    <m/>
    <s v="On Premises (Client/Server)"/>
    <m/>
    <m/>
    <m/>
    <m/>
    <m/>
    <s v="Unknown"/>
    <m/>
    <m/>
    <m/>
    <s v="server?"/>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262"/>
    <x v="6"/>
    <x v="2"/>
    <s v="Loftware"/>
    <m/>
    <m/>
    <s v="Boston"/>
    <s v="Yes"/>
    <m/>
    <s v="On Premises (Client/Server)"/>
    <m/>
    <m/>
    <s v="No"/>
    <m/>
    <s v="T1?"/>
    <s v="Y"/>
    <m/>
    <s v="Kishor Patel"/>
    <d v="2021-11-22T00:00:00"/>
    <s v="via Kishor Patel"/>
    <d v="2021-11-22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62"/>
    <x v="149"/>
    <x v="2"/>
    <s v="Loftware, Inc"/>
    <m/>
    <s v="Enterprise"/>
    <m/>
    <s v="Yes"/>
    <m/>
    <m/>
    <m/>
    <m/>
    <s v="No"/>
    <m/>
    <s v="T1"/>
    <s v="Yes"/>
    <m/>
    <s v="Kishor Patel"/>
    <d v="2021-11-22T00:00:00"/>
    <s v="via Kishor Patel"/>
    <d v="2021-11-22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63"/>
    <x v="6"/>
    <x v="11"/>
    <s v="Lotus"/>
    <m/>
    <m/>
    <s v="BIOT"/>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63"/>
    <x v="6"/>
    <x v="15"/>
    <s v="Lotus"/>
    <m/>
    <m/>
    <s v="BIOT"/>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64"/>
    <x v="6"/>
    <x v="1"/>
    <s v="IMA life"/>
    <m/>
    <m/>
    <s v="Plainsboro Corp"/>
    <m/>
    <m/>
    <s v="Local"/>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65"/>
    <x v="150"/>
    <x v="0"/>
    <s v="LRN Software"/>
    <m/>
    <m/>
    <s v="Multi-Site: Austin, Boston, Billerica, Cincinnati OH, Plainsboro Corp, Plainsboro 109, Salt Lake, San Diego, St Paul, Waltham, York"/>
    <m/>
    <s v="Other"/>
    <s v="Saas"/>
    <m/>
    <m/>
    <m/>
    <m/>
    <m/>
    <s v="No"/>
    <m/>
    <m/>
    <m/>
    <m/>
    <m/>
    <s v="LRN training content platform renewed for 3 years (until 2028)"/>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66"/>
    <x v="6"/>
    <x v="1"/>
    <s v="Beckman Coulter"/>
    <m/>
    <m/>
    <s v="Plainsboro Corp"/>
    <m/>
    <m/>
    <s v="Local"/>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67"/>
    <x v="6"/>
    <x v="1"/>
    <m/>
    <m/>
    <m/>
    <s v="Puerto Rico"/>
    <m/>
    <s v="Other"/>
    <s v="Desktop"/>
    <m/>
    <m/>
    <m/>
    <m/>
    <m/>
    <s v="Yes"/>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68"/>
    <x v="6"/>
    <x v="1"/>
    <s v="LVS Inc -Label Vision Systems"/>
    <m/>
    <m/>
    <s v="Plainsboro 105, Austin, Cincinnati"/>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69"/>
    <x v="6"/>
    <x v="1"/>
    <s v="LVS Inc -Label Vision Systems"/>
    <m/>
    <m/>
    <s v="Plainsboro 105, Austin, Cincinnati"/>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69"/>
    <x v="6"/>
    <x v="1"/>
    <s v="LVS Inc -Label Vision Systems"/>
    <m/>
    <m/>
    <s v="Plainsboro 105, Austin, Cincinnati"/>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70"/>
    <x v="6"/>
    <x v="1"/>
    <s v="SP Scientific + Lyomanager"/>
    <m/>
    <m/>
    <s v="Plainsboro Corp"/>
    <m/>
    <m/>
    <s v="Local"/>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71"/>
    <x v="151"/>
    <x v="1"/>
    <s v="IBM + Fiberlink"/>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72"/>
    <x v="152"/>
    <x v="1"/>
    <s v="Malwarebytes"/>
    <m/>
    <m/>
    <m/>
    <m/>
    <s v="Other"/>
    <m/>
    <m/>
    <m/>
    <m/>
    <m/>
    <m/>
    <m/>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273"/>
    <x v="6"/>
    <x v="1"/>
    <s v="Mamp"/>
    <m/>
    <m/>
    <s v="Lyon"/>
    <m/>
    <m/>
    <s v="Local"/>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74"/>
    <x v="153"/>
    <x v="1"/>
    <m/>
    <m/>
    <m/>
    <s v="US"/>
    <s v="Yes"/>
    <m/>
    <m/>
    <m/>
    <m/>
    <m/>
    <m/>
    <m/>
    <s v="Yes"/>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75"/>
    <x v="154"/>
    <x v="1"/>
    <s v="Master Control"/>
    <m/>
    <m/>
    <m/>
    <m/>
    <s v="Other"/>
    <m/>
    <m/>
    <m/>
    <m/>
    <m/>
    <m/>
    <m/>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76"/>
    <x v="111"/>
    <x v="2"/>
    <s v="MasterCAM"/>
    <m/>
    <m/>
    <s v="Cincinnati"/>
    <s v="Yes"/>
    <m/>
    <s v="Desktop"/>
    <m/>
    <m/>
    <m/>
    <m/>
    <m/>
    <s v="No"/>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76"/>
    <x v="111"/>
    <x v="2"/>
    <s v="MasterCAM"/>
    <m/>
    <m/>
    <s v="Cincinnati"/>
    <s v="Yes"/>
    <m/>
    <s v="Desktop"/>
    <m/>
    <m/>
    <m/>
    <m/>
    <m/>
    <s v="No"/>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77"/>
    <x v="6"/>
    <x v="1"/>
    <s v="Matlab"/>
    <m/>
    <m/>
    <s v="Billerica"/>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278"/>
    <x v="155"/>
    <x v="1"/>
    <s v="IBM"/>
    <m/>
    <m/>
    <s v="Puerto Rico, Plainsboro (in the process if implementation)"/>
    <s v="Yes"/>
    <m/>
    <s v="On Premises (Client/Server)"/>
    <m/>
    <m/>
    <m/>
    <m/>
    <m/>
    <s v="Y"/>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79"/>
    <x v="130"/>
    <x v="1"/>
    <m/>
    <m/>
    <m/>
    <m/>
    <m/>
    <m/>
    <m/>
    <m/>
    <m/>
    <m/>
    <m/>
    <m/>
    <m/>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280"/>
    <x v="156"/>
    <x v="1"/>
    <m/>
    <m/>
    <s v="Enterprise"/>
    <m/>
    <s v="Yes"/>
    <m/>
    <s v="On Premises (Client/Server)"/>
    <m/>
    <m/>
    <m/>
    <m/>
    <m/>
    <s v="No"/>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281"/>
    <x v="157"/>
    <x v="1"/>
    <s v="McAfee"/>
    <m/>
    <m/>
    <m/>
    <m/>
    <s v="Other"/>
    <m/>
    <m/>
    <m/>
    <m/>
    <m/>
    <m/>
    <m/>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282"/>
    <x v="6"/>
    <x v="1"/>
    <m/>
    <m/>
    <m/>
    <s v="Puerto Rico"/>
    <m/>
    <m/>
    <m/>
    <m/>
    <m/>
    <m/>
    <m/>
    <m/>
    <s v="Yes"/>
    <n v="3"/>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283"/>
    <x v="158"/>
    <x v="2"/>
    <s v="Telesis + Merlin"/>
    <m/>
    <m/>
    <s v="Cincinnati"/>
    <s v="Yes"/>
    <m/>
    <s v="Desktop"/>
    <m/>
    <m/>
    <m/>
    <m/>
    <m/>
    <s v="No"/>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84"/>
    <x v="159"/>
    <x v="1"/>
    <s v="Mes"/>
    <m/>
    <m/>
    <s v="Cincinnati"/>
    <m/>
    <m/>
    <s v="Saas"/>
    <m/>
    <m/>
    <m/>
    <m/>
    <m/>
    <s v="No"/>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285"/>
    <x v="6"/>
    <x v="1"/>
    <s v="Microlab"/>
    <m/>
    <m/>
    <s v="Plainsboro 105"/>
    <s v="Yes"/>
    <m/>
    <s v="On Premises (Client/Server)"/>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86"/>
    <x v="6"/>
    <x v="1"/>
    <s v="Microsoft"/>
    <m/>
    <m/>
    <s v="Billerica"/>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87"/>
    <x v="33"/>
    <x v="1"/>
    <s v="Microsoft"/>
    <m/>
    <s v="Enterprise"/>
    <m/>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88"/>
    <x v="33"/>
    <x v="5"/>
    <s v="Microsoft"/>
    <m/>
    <m/>
    <m/>
    <m/>
    <m/>
    <s v="Desktop"/>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89"/>
    <x v="6"/>
    <x v="1"/>
    <s v="Microsoft"/>
    <m/>
    <m/>
    <s v="St. Aubin"/>
    <s v="Yes"/>
    <m/>
    <s v="Database"/>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90"/>
    <x v="160"/>
    <x v="1"/>
    <s v="Microsoft"/>
    <m/>
    <s v="Enterprise"/>
    <m/>
    <s v="Yes"/>
    <m/>
    <s v="Desktop"/>
    <m/>
    <m/>
    <m/>
    <m/>
    <m/>
    <s v="NA"/>
    <m/>
    <s v="Michael Patterson"/>
    <d v="2021-11-16T00:00:00"/>
    <s v="via Michael Patterson"/>
    <d v="2021-11-16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91"/>
    <x v="161"/>
    <x v="2"/>
    <s v="Microsoft"/>
    <m/>
    <m/>
    <s v="Billerica"/>
    <s v="Yes"/>
    <m/>
    <s v="Desktop"/>
    <m/>
    <m/>
    <m/>
    <m/>
    <m/>
    <s v="N/A"/>
    <m/>
    <s v="Gary Beckmann"/>
    <d v="2022-01-31T00:00:00"/>
    <s v="via Gary Beckmann"/>
    <d v="2022-01-31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92"/>
    <x v="6"/>
    <x v="1"/>
    <s v="MIcrosoft"/>
    <m/>
    <m/>
    <s v="Cincinnati"/>
    <s v="Yes"/>
    <m/>
    <s v="On Premises (Client/Server)"/>
    <m/>
    <m/>
    <m/>
    <m/>
    <m/>
    <s v="N"/>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93"/>
    <x v="6"/>
    <x v="1"/>
    <s v="Microsoft"/>
    <m/>
    <m/>
    <s v="Billerica"/>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294"/>
    <x v="6"/>
    <x v="1"/>
    <s v="Waters + Millennium"/>
    <m/>
    <m/>
    <s v="Plainsboro Corp"/>
    <m/>
    <m/>
    <s v="Local"/>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295"/>
    <x v="6"/>
    <x v="1"/>
    <s v="MindJet"/>
    <m/>
    <m/>
    <s v="Ratingen"/>
    <s v="Yes"/>
    <m/>
    <s v="On Premises (Client/Server)"/>
    <m/>
    <m/>
    <m/>
    <m/>
    <m/>
    <s v="N"/>
    <m/>
    <m/>
    <m/>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296"/>
    <x v="6"/>
    <x v="1"/>
    <m/>
    <m/>
    <m/>
    <m/>
    <m/>
    <m/>
    <m/>
    <m/>
    <m/>
    <m/>
    <m/>
    <m/>
    <m/>
    <m/>
    <m/>
    <m/>
    <s v="INC0750223"/>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297"/>
    <x v="162"/>
    <x v="2"/>
    <m/>
    <m/>
    <s v="Enterprise"/>
    <m/>
    <s v="Yes"/>
    <m/>
    <m/>
    <m/>
    <m/>
    <s v="No"/>
    <m/>
    <m/>
    <s v="No"/>
    <m/>
    <m/>
    <m/>
    <s v="server?"/>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298"/>
    <x v="6"/>
    <x v="0"/>
    <s v="Datawatch"/>
    <m/>
    <m/>
    <s v="Dublin"/>
    <m/>
    <m/>
    <s v="Desktop"/>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98"/>
    <x v="6"/>
    <x v="0"/>
    <s v="Datawatch"/>
    <m/>
    <m/>
    <s v="Cincinnati,Plainsboro, York"/>
    <m/>
    <m/>
    <s v="Desktop"/>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299"/>
    <x v="6"/>
    <x v="0"/>
    <s v="Altair"/>
    <m/>
    <m/>
    <m/>
    <s v="Yes"/>
    <m/>
    <m/>
    <m/>
    <m/>
    <m/>
    <m/>
    <m/>
    <s v="No"/>
    <m/>
    <m/>
    <m/>
    <s v="changed IS Owner. Server?"/>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00"/>
    <x v="163"/>
    <x v="2"/>
    <s v="MoveMedical"/>
    <m/>
    <m/>
    <s v="US (field sales reps throughout the US)."/>
    <m/>
    <s v="AWS"/>
    <s v="Saas"/>
    <m/>
    <m/>
    <m/>
    <m/>
    <m/>
    <s v="No"/>
    <m/>
    <m/>
    <m/>
    <m/>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301"/>
    <x v="164"/>
    <x v="2"/>
    <s v="Integra"/>
    <m/>
    <m/>
    <s v="US"/>
    <m/>
    <s v="Azure"/>
    <s v="Web"/>
    <m/>
    <s v="Yes"/>
    <m/>
    <m/>
    <s v="T3?"/>
    <s v="Yes"/>
    <n v="4"/>
    <s v="Amit Singhal &amp; Vincent Lu"/>
    <d v="2022-04-13T00:00:00"/>
    <s v="April 4, 2022 via Amit Singhal &amp; April 13, 2022 via Vincent Lu"/>
    <d v="2022-04-13T00:00:00"/>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302"/>
    <x v="6"/>
    <x v="0"/>
    <s v="MOVinfor"/>
    <m/>
    <m/>
    <s v="Newdeal, Biot, Zaventem, Plan Les Ouates, ILS France Lyon, Andover UK, Ratingen DE"/>
    <s v="Yes"/>
    <m/>
    <s v="On Premises (Client/Server)"/>
    <m/>
    <m/>
    <m/>
    <m/>
    <m/>
    <s v="Y"/>
    <m/>
    <m/>
    <m/>
    <m/>
    <m/>
    <s v="(Data Retained for Compliance Purposes)"/>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303"/>
    <x v="165"/>
    <x v="1"/>
    <s v="Mozilla"/>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04"/>
    <x v="6"/>
    <x v="1"/>
    <s v="Datastream systems"/>
    <m/>
    <m/>
    <s v="Biot, Billerica"/>
    <m/>
    <m/>
    <s v="Desktop"/>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05"/>
    <x v="166"/>
    <x v="2"/>
    <s v="Spectrum CNC_x000a_Xpert CNC Technologies, LLC.?"/>
    <m/>
    <m/>
    <s v="Cincinnati"/>
    <s v="Yes"/>
    <m/>
    <s v="Desktop"/>
    <m/>
    <m/>
    <m/>
    <m/>
    <m/>
    <s v="No"/>
    <m/>
    <s v="Michael Patterson"/>
    <d v="2021-11-16T00:00:00"/>
    <s v="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06"/>
    <x v="6"/>
    <x v="1"/>
    <s v="Multivac"/>
    <m/>
    <m/>
    <s v="Puerto Rico"/>
    <s v="Yes"/>
    <m/>
    <m/>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07"/>
    <x v="167"/>
    <x v="1"/>
    <m/>
    <m/>
    <m/>
    <s v="Americas - Canada and US"/>
    <m/>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08"/>
    <x v="168"/>
    <x v="1"/>
    <s v="MVI Training"/>
    <m/>
    <m/>
    <s v="Germany?"/>
    <m/>
    <s v="Other"/>
    <m/>
    <m/>
    <m/>
    <m/>
    <m/>
    <m/>
    <m/>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309"/>
    <x v="169"/>
    <x v="16"/>
    <s v="Sage + Mysys"/>
    <m/>
    <m/>
    <s v="Cincinnati-St. Paul"/>
    <m/>
    <m/>
    <s v="On Premises (Client/Server)"/>
    <m/>
    <m/>
    <m/>
    <m/>
    <m/>
    <s v="N"/>
    <m/>
    <s v="Michael Patterson"/>
    <d v="2021-11-16T00:00:00"/>
    <s v="Nov 16, 2021 via Michael Patterson. Also, server?"/>
    <d v="2021-11-16T00:00:00"/>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310"/>
    <x v="170"/>
    <x v="1"/>
    <s v="Nagios"/>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11"/>
    <x v="171"/>
    <x v="2"/>
    <m/>
    <m/>
    <m/>
    <m/>
    <m/>
    <m/>
    <m/>
    <m/>
    <m/>
    <m/>
    <m/>
    <m/>
    <s v="No"/>
    <m/>
    <s v="Kevin McParland"/>
    <d v="2022-05-12T00:00:00"/>
    <m/>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312"/>
    <x v="172"/>
    <x v="1"/>
    <s v="NComputing"/>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13"/>
    <x v="173"/>
    <x v="1"/>
    <m/>
    <m/>
    <s v="Enterprise"/>
    <m/>
    <s v="Yes"/>
    <m/>
    <s v="On Premises (Client/Server)"/>
    <m/>
    <m/>
    <m/>
    <m/>
    <m/>
    <s v="No"/>
    <m/>
    <m/>
    <m/>
    <s v="server?"/>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14"/>
    <x v="174"/>
    <x v="1"/>
    <s v="Tenable"/>
    <m/>
    <s v="Enterprise"/>
    <m/>
    <s v="Yes"/>
    <m/>
    <s v="On Premises (Client/Server)"/>
    <m/>
    <m/>
    <m/>
    <m/>
    <m/>
    <s v="No"/>
    <m/>
    <s v="Matthew Cerny"/>
    <d v="2021-11-18T00:00:00"/>
    <s v="Nov 18, 2021 via Matthew Cerny"/>
    <d v="2021-11-18T00:00:00"/>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15"/>
    <x v="175"/>
    <x v="1"/>
    <s v="Oracle"/>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16"/>
    <x v="176"/>
    <x v="1"/>
    <m/>
    <m/>
    <s v="Enterprise"/>
    <m/>
    <s v="Yes"/>
    <m/>
    <s v="On Premises (Client/Server)"/>
    <m/>
    <m/>
    <m/>
    <m/>
    <m/>
    <s v="No"/>
    <m/>
    <m/>
    <m/>
    <s v="server?"/>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17"/>
    <x v="6"/>
    <x v="1"/>
    <s v="Newmaint"/>
    <m/>
    <m/>
    <s v="BIOT"/>
    <s v="Yes"/>
    <m/>
    <s v="On Premises (Client/Server)"/>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18"/>
    <x v="6"/>
    <x v="1"/>
    <s v="NiceLabel"/>
    <m/>
    <m/>
    <s v="Billerica"/>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19"/>
    <x v="177"/>
    <x v="11"/>
    <s v="Nikon"/>
    <m/>
    <m/>
    <s v="Puerto Rico"/>
    <m/>
    <m/>
    <s v="Desktop"/>
    <m/>
    <m/>
    <m/>
    <m/>
    <m/>
    <s v="N"/>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20"/>
    <x v="178"/>
    <x v="1"/>
    <s v="Numara Software"/>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21"/>
    <x v="6"/>
    <x v="0"/>
    <s v="IBM"/>
    <m/>
    <m/>
    <s v="Plainsboro Corp"/>
    <s v="Yes"/>
    <m/>
    <s v="On Premises (Client/Server)"/>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22"/>
    <x v="179"/>
    <x v="1"/>
    <s v="Wyatt Technology"/>
    <m/>
    <m/>
    <m/>
    <m/>
    <m/>
    <m/>
    <m/>
    <m/>
    <m/>
    <m/>
    <m/>
    <m/>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23"/>
    <x v="33"/>
    <x v="8"/>
    <s v="Microsoft"/>
    <m/>
    <s v="Enterprise"/>
    <m/>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24"/>
    <x v="6"/>
    <x v="0"/>
    <m/>
    <m/>
    <s v="Enterprise"/>
    <m/>
    <s v="Yes"/>
    <m/>
    <m/>
    <m/>
    <m/>
    <m/>
    <m/>
    <m/>
    <s v="No"/>
    <m/>
    <m/>
    <m/>
    <s v="Check with Radhika"/>
    <m/>
    <s v="Contract stopped when we moved to OnePlan"/>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324"/>
    <x v="6"/>
    <x v="8"/>
    <s v="Lookout Software, LLC"/>
    <m/>
    <m/>
    <s v="Lyon, Plainsboro Corp"/>
    <s v="Yes"/>
    <m/>
    <s v="Saas"/>
    <m/>
    <m/>
    <m/>
    <m/>
    <m/>
    <s v="N"/>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325"/>
    <x v="6"/>
    <x v="1"/>
    <s v="Thermo Fisher Scientific"/>
    <m/>
    <m/>
    <s v="Puerto Rico"/>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26"/>
    <x v="6"/>
    <x v="2"/>
    <m/>
    <m/>
    <m/>
    <m/>
    <m/>
    <s v="Other"/>
    <s v="Web"/>
    <m/>
    <m/>
    <m/>
    <m/>
    <m/>
    <s v="No"/>
    <m/>
    <m/>
    <m/>
    <m/>
    <m/>
    <s v="Solution used by Compliance (data privacy), Security and IT compliance (vendor assessment) "/>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327"/>
    <x v="33"/>
    <x v="1"/>
    <s v="Millrock Technologies"/>
    <m/>
    <m/>
    <s v="Plainsboro 105 Corp"/>
    <s v="Yes"/>
    <m/>
    <s v="on-prem (not a server?)"/>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28"/>
    <x v="6"/>
    <x v="0"/>
    <s v="IBM"/>
    <m/>
    <m/>
    <s v="Plainsboro Corp"/>
    <s v="Yes"/>
    <m/>
    <s v="On Premises (Client/Server)"/>
    <m/>
    <m/>
    <m/>
    <m/>
    <m/>
    <s v="Y"/>
    <m/>
    <m/>
    <m/>
    <m/>
    <m/>
    <s v="Tools used in the past for archiving. Contract not renewed."/>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29"/>
    <x v="6"/>
    <x v="2"/>
    <s v="Oracle"/>
    <m/>
    <m/>
    <m/>
    <m/>
    <s v="Other"/>
    <s v="Saas"/>
    <m/>
    <m/>
    <m/>
    <m/>
    <m/>
    <s v="Yes"/>
    <s v="4, 5"/>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0"/>
    <x v="6"/>
    <x v="0"/>
    <s v="Oracle"/>
    <m/>
    <m/>
    <s v="All US"/>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0"/>
    <x v="6"/>
    <x v="0"/>
    <s v="Oracle"/>
    <m/>
    <m/>
    <s v="Multi-Site-Cincinnati-Austin"/>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1"/>
    <x v="180"/>
    <x v="2"/>
    <s v="Oracle"/>
    <m/>
    <m/>
    <s v="Multi-Site"/>
    <m/>
    <s v="OCI"/>
    <s v="Saas"/>
    <m/>
    <m/>
    <m/>
    <m/>
    <s v="T1"/>
    <s v="Yes"/>
    <s v="4, 5"/>
    <s v="George Groom"/>
    <d v="2022-03-14T00:00:00"/>
    <s v="Mar 14, 2022 via George Groom"/>
    <d v="2022-03-14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2"/>
    <x v="6"/>
    <x v="2"/>
    <s v="Oracle"/>
    <m/>
    <s v="Enterprise"/>
    <m/>
    <s v="Yes"/>
    <m/>
    <m/>
    <m/>
    <m/>
    <m/>
    <m/>
    <m/>
    <s v="Yes"/>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3"/>
    <x v="181"/>
    <x v="0"/>
    <s v="Oracle"/>
    <m/>
    <m/>
    <s v="All US, Canada, Germany, Australia &amp; New Zealand"/>
    <m/>
    <s v="OCI"/>
    <m/>
    <m/>
    <m/>
    <m/>
    <m/>
    <s v="T1"/>
    <s v="Yes"/>
    <m/>
    <s v="George Groom"/>
    <d v="2022-03-14T00:00:00"/>
    <s v="Mar 14, 2022 via George Groom"/>
    <d v="2022-03-14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4"/>
    <x v="182"/>
    <x v="2"/>
    <s v="Oracle"/>
    <m/>
    <m/>
    <s v="Plainsboro Corp, York"/>
    <m/>
    <s v="OCI"/>
    <s v="On Premises (Client/Server)"/>
    <m/>
    <m/>
    <m/>
    <m/>
    <s v="T2?"/>
    <s v="Yes"/>
    <m/>
    <s v="George Groom"/>
    <d v="2022-03-14T00:00:00"/>
    <s v="Mar 14, 2022 via George Groom"/>
    <d v="2022-03-14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5"/>
    <x v="183"/>
    <x v="2"/>
    <s v="Oracle"/>
    <m/>
    <s v="Enterprise"/>
    <m/>
    <s v="Yes"/>
    <m/>
    <m/>
    <m/>
    <m/>
    <m/>
    <m/>
    <m/>
    <s v="Yes"/>
    <m/>
    <s v="Kishor Patel"/>
    <d v="2021-11-22T00:00:00"/>
    <s v="Nov 22, 21 via Kishor Patel"/>
    <d v="2021-11-22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6"/>
    <x v="6"/>
    <x v="2"/>
    <s v="Oracle"/>
    <m/>
    <m/>
    <m/>
    <s v="Yes"/>
    <m/>
    <m/>
    <m/>
    <m/>
    <s v="No"/>
    <m/>
    <s v="T1"/>
    <m/>
    <m/>
    <m/>
    <m/>
    <s v="from 10 critical app list"/>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7"/>
    <x v="184"/>
    <x v="2"/>
    <s v="Oracle"/>
    <m/>
    <m/>
    <s v="Multi-Site"/>
    <m/>
    <s v="OCI"/>
    <s v="On Premises (Client/Server)"/>
    <m/>
    <m/>
    <m/>
    <m/>
    <s v="T1"/>
    <s v="Yes"/>
    <m/>
    <s v="George Groom"/>
    <d v="2022-03-14T00:00:00"/>
    <s v="Mar 14, 2022 via George Groom"/>
    <d v="2022-03-14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38"/>
    <x v="6"/>
    <x v="2"/>
    <s v="OrCAD"/>
    <m/>
    <s v="Enterprise"/>
    <m/>
    <s v="Yes"/>
    <m/>
    <m/>
    <m/>
    <m/>
    <m/>
    <m/>
    <m/>
    <s v="No"/>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39"/>
    <x v="6"/>
    <x v="0"/>
    <s v="SAP"/>
    <m/>
    <m/>
    <s v="Multi-Site: Andover, Austin, Boston, Biot, Billerica, Cincinnati, Dublin, Kiel, Lyon, All Plainsboro, Germany, Reno, Salt Lake, San Diego, Tullamore, Waltham, York, Zavante BE"/>
    <s v="Yes"/>
    <m/>
    <s v="On Premises (Client/Server)"/>
    <m/>
    <m/>
    <m/>
    <m/>
    <m/>
    <s v="N"/>
    <m/>
    <m/>
    <m/>
    <m/>
    <m/>
    <s v="Replaced by OneStrea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340"/>
    <x v="185"/>
    <x v="1"/>
    <s v="dotPDN"/>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1"/>
    <x v="6"/>
    <x v="4"/>
    <m/>
    <m/>
    <m/>
    <m/>
    <m/>
    <m/>
    <m/>
    <m/>
    <m/>
    <s v="Yes"/>
    <m/>
    <m/>
    <m/>
    <m/>
    <s v="Vincent Lu"/>
    <d v="2023-03-16T00:00:00"/>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42"/>
    <x v="186"/>
    <x v="1"/>
    <s v="Palo Alto"/>
    <m/>
    <s v="Enterprise"/>
    <m/>
    <s v="Yes"/>
    <m/>
    <s v="On Premises (Client/Server)"/>
    <m/>
    <m/>
    <m/>
    <m/>
    <m/>
    <s v="No"/>
    <m/>
    <m/>
    <m/>
    <s v="server?"/>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43"/>
    <x v="187"/>
    <x v="1"/>
    <s v="Pano Logic"/>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4"/>
    <x v="6"/>
    <x v="11"/>
    <s v="Kofax"/>
    <m/>
    <m/>
    <s v="Germany"/>
    <m/>
    <m/>
    <s v="Local"/>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5"/>
    <x v="6"/>
    <x v="1"/>
    <m/>
    <m/>
    <m/>
    <s v="Germany"/>
    <m/>
    <m/>
    <s v="Local"/>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6"/>
    <x v="6"/>
    <x v="1"/>
    <s v="Parasoft"/>
    <m/>
    <m/>
    <s v="Billerica"/>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7"/>
    <x v="6"/>
    <x v="1"/>
    <s v="Parasoft"/>
    <m/>
    <m/>
    <s v="Billerica"/>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48"/>
    <x v="111"/>
    <x v="1"/>
    <s v="Delcam"/>
    <m/>
    <m/>
    <s v="Cincinnati"/>
    <s v="Yes"/>
    <m/>
    <s v="Desktop"/>
    <m/>
    <m/>
    <m/>
    <m/>
    <m/>
    <s v="N"/>
    <m/>
    <s v="Michael Patterson"/>
    <d v="2021-11-16T00:00:00"/>
    <s v="Nov 16, 2021 via Michael Patterson"/>
    <d v="2021-11-16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49"/>
    <x v="33"/>
    <x v="2"/>
    <s v="Hexagon Metrology"/>
    <m/>
    <m/>
    <s v="Cincinnati"/>
    <m/>
    <m/>
    <s v="Desktop"/>
    <m/>
    <m/>
    <m/>
    <m/>
    <m/>
    <s v="Yes"/>
    <m/>
    <s v="Michael Patterson"/>
    <d v="2021-11-16T00:00:00"/>
    <s v="Nov 16, 2021 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50"/>
    <x v="6"/>
    <x v="1"/>
    <s v="PDForge"/>
    <m/>
    <m/>
    <s v="All US"/>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51"/>
    <x v="188"/>
    <x v="1"/>
    <s v="EXP Systems"/>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52"/>
    <x v="6"/>
    <x v="1"/>
    <s v="Pdmworks"/>
    <m/>
    <m/>
    <s v="LYON N/D, kiel"/>
    <s v="Yes"/>
    <m/>
    <s v="On Premises (Client/Server)"/>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53"/>
    <x v="6"/>
    <x v="1"/>
    <s v="Dionex"/>
    <m/>
    <m/>
    <s v="Plainsboro Corp"/>
    <m/>
    <m/>
    <s v="Local"/>
    <m/>
    <m/>
    <m/>
    <m/>
    <m/>
    <s v="N"/>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54"/>
    <x v="189"/>
    <x v="0"/>
    <m/>
    <m/>
    <m/>
    <m/>
    <m/>
    <s v="Other"/>
    <s v="Saas"/>
    <m/>
    <s v="Yes"/>
    <m/>
    <m/>
    <m/>
    <m/>
    <m/>
    <m/>
    <m/>
    <m/>
    <m/>
    <s v="Replaced by Workday"/>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355"/>
    <x v="190"/>
    <x v="1"/>
    <m/>
    <m/>
    <m/>
    <s v="Global (EMEA (Ireland) &amp; APAC (Japan) - Mostly used in Corp)"/>
    <s v="Yes"/>
    <m/>
    <s v="On Premises (Client/Server)"/>
    <m/>
    <m/>
    <m/>
    <m/>
    <m/>
    <s v="Yes"/>
    <m/>
    <m/>
    <m/>
    <m/>
    <m/>
    <m/>
    <m/>
    <x v="0"/>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356"/>
    <x v="33"/>
    <x v="1"/>
    <s v="pho.to"/>
    <m/>
    <m/>
    <s v="Billerica"/>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57"/>
    <x v="33"/>
    <x v="1"/>
    <s v="Photron"/>
    <m/>
    <m/>
    <s v="Billerica"/>
    <m/>
    <m/>
    <s v="Desktop"/>
    <m/>
    <m/>
    <m/>
    <m/>
    <m/>
    <s v="N"/>
    <m/>
    <m/>
    <m/>
    <s v="changed IS Owner"/>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58"/>
    <x v="191"/>
    <x v="1"/>
    <s v="Microsoft?"/>
    <m/>
    <s v="Enterprise"/>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59"/>
    <x v="191"/>
    <x v="1"/>
    <m/>
    <m/>
    <s v="Enterprise"/>
    <m/>
    <s v="Yes"/>
    <m/>
    <m/>
    <m/>
    <m/>
    <m/>
    <m/>
    <m/>
    <s v="No"/>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360"/>
    <x v="6"/>
    <x v="1"/>
    <m/>
    <m/>
    <m/>
    <m/>
    <m/>
    <s v="Other"/>
    <m/>
    <m/>
    <m/>
    <m/>
    <m/>
    <m/>
    <m/>
    <m/>
    <m/>
    <m/>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361"/>
    <x v="192"/>
    <x v="1"/>
    <m/>
    <m/>
    <m/>
    <m/>
    <m/>
    <s v="Other"/>
    <m/>
    <m/>
    <m/>
    <m/>
    <m/>
    <m/>
    <m/>
    <m/>
    <m/>
    <m/>
    <m/>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362"/>
    <x v="6"/>
    <x v="1"/>
    <s v="Pmi"/>
    <m/>
    <m/>
    <s v="LYON N/D, kiel?"/>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63"/>
    <x v="193"/>
    <x v="2"/>
    <s v="Microsoft"/>
    <m/>
    <m/>
    <s v="Corporate"/>
    <m/>
    <s v="Azure"/>
    <m/>
    <m/>
    <s v="Yes"/>
    <m/>
    <m/>
    <m/>
    <s v="No"/>
    <m/>
    <s v="Amit Singhal and Vincent Lu"/>
    <d v="2022-04-13T00:00:00"/>
    <s v="Based on data from Feb 28, 2022 via Amit Singhal and April 13, 2022 via Vincent Lu"/>
    <d v="2022-04-13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64"/>
    <x v="193"/>
    <x v="2"/>
    <s v="Microsoft"/>
    <m/>
    <m/>
    <s v="Corporate"/>
    <s v="Yes"/>
    <m/>
    <m/>
    <m/>
    <s v="Yes"/>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65"/>
    <x v="194"/>
    <x v="2"/>
    <s v="Microsoft"/>
    <m/>
    <m/>
    <s v="Globally at Tissue Tech Consignmnet Sales"/>
    <m/>
    <s v="Azure"/>
    <s v="PaaS"/>
    <m/>
    <s v="Yes"/>
    <m/>
    <m/>
    <s v="T1"/>
    <s v="No"/>
    <m/>
    <s v="Amit Singhal"/>
    <d v="2022-05-12T00:00:00"/>
    <s v="Mar 3, 2022 via Amit Singhal._x000a_May 2022: removed and interdependency listed under MoveMedical and Power BI"/>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66"/>
    <x v="6"/>
    <x v="1"/>
    <s v="Primera"/>
    <m/>
    <m/>
    <s v="Cincinnati"/>
    <m/>
    <m/>
    <s v="Desktop"/>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67"/>
    <x v="6"/>
    <x v="1"/>
    <m/>
    <m/>
    <m/>
    <s v="Germany"/>
    <m/>
    <m/>
    <s v="Desktop"/>
    <m/>
    <m/>
    <m/>
    <m/>
    <m/>
    <s v="N"/>
    <m/>
    <m/>
    <m/>
    <m/>
    <m/>
    <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368"/>
    <x v="195"/>
    <x v="1"/>
    <s v="Prms"/>
    <m/>
    <m/>
    <s v="Puerto Rico"/>
    <s v="Yes"/>
    <m/>
    <s v="On Premises (Client/Server)"/>
    <m/>
    <m/>
    <m/>
    <m/>
    <m/>
    <s v="Y"/>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369"/>
    <x v="6"/>
    <x v="1"/>
    <s v="Prime Technologies Inc."/>
    <m/>
    <m/>
    <s v="Plainsboro 105/ 109"/>
    <m/>
    <m/>
    <m/>
    <m/>
    <m/>
    <m/>
    <m/>
    <m/>
    <s v="Y"/>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370"/>
    <x v="6"/>
    <x v="1"/>
    <s v="PTC"/>
    <m/>
    <m/>
    <s v="Tullamore, Billerica"/>
    <s v="Yes"/>
    <m/>
    <s v="On Premises (Client/Server)"/>
    <m/>
    <m/>
    <m/>
    <m/>
    <m/>
    <s v="N"/>
    <m/>
    <m/>
    <m/>
    <s v="changed IS Own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71"/>
    <x v="6"/>
    <x v="1"/>
    <s v="PTC"/>
    <m/>
    <m/>
    <s v="Tullamore, Billerica"/>
    <s v="Yes"/>
    <m/>
    <s v="On Premises (Client/Server)"/>
    <m/>
    <m/>
    <m/>
    <m/>
    <m/>
    <s v="N"/>
    <m/>
    <m/>
    <m/>
    <s v="changed IS Owner. Serv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72"/>
    <x v="6"/>
    <x v="1"/>
    <m/>
    <m/>
    <m/>
    <s v="TUT"/>
    <s v="Yes"/>
    <m/>
    <s v="On Premises (Client/Server)"/>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373"/>
    <x v="6"/>
    <x v="1"/>
    <s v="PTC"/>
    <m/>
    <m/>
    <s v="Andover"/>
    <s v="Yes"/>
    <m/>
    <s v="On Premises (Client/Server)"/>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74"/>
    <x v="33"/>
    <x v="1"/>
    <s v="Microsoft"/>
    <m/>
    <m/>
    <s v="Puerto Rico"/>
    <s v="Yes"/>
    <m/>
    <s v="On Premises (Client/Server)"/>
    <m/>
    <m/>
    <m/>
    <m/>
    <m/>
    <s v="N"/>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75"/>
    <x v="196"/>
    <x v="1"/>
    <s v="Paessler"/>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76"/>
    <x v="6"/>
    <x v="1"/>
    <s v="PTC"/>
    <m/>
    <m/>
    <s v="Billerica"/>
    <m/>
    <m/>
    <s v="Desktop"/>
    <m/>
    <m/>
    <m/>
    <m/>
    <m/>
    <s v="N"/>
    <m/>
    <m/>
    <m/>
    <s v="changed IS Own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77"/>
    <x v="6"/>
    <x v="1"/>
    <m/>
    <m/>
    <m/>
    <m/>
    <m/>
    <s v="Other"/>
    <m/>
    <m/>
    <m/>
    <m/>
    <m/>
    <m/>
    <m/>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378"/>
    <x v="6"/>
    <x v="1"/>
    <s v="Pyris"/>
    <m/>
    <m/>
    <s v="Boston, Plainsboro 105"/>
    <s v="Yes"/>
    <m/>
    <s v="On Premises (Client/Server)"/>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79"/>
    <x v="6"/>
    <x v="1"/>
    <s v="Associates of Cape Cod"/>
    <m/>
    <m/>
    <s v="Boston, Kiel, Plainsboro Corp"/>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80"/>
    <x v="197"/>
    <x v="1"/>
    <s v="Tecan"/>
    <m/>
    <m/>
    <m/>
    <m/>
    <s v="Other"/>
    <m/>
    <m/>
    <m/>
    <m/>
    <m/>
    <m/>
    <m/>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81"/>
    <x v="6"/>
    <x v="1"/>
    <s v="CAMA Software"/>
    <m/>
    <m/>
    <s v="Billerica, Plainsboro"/>
    <s v="Yes"/>
    <m/>
    <s v="On Premises (Client/Server)"/>
    <m/>
    <m/>
    <m/>
    <m/>
    <m/>
    <s v="N"/>
    <m/>
    <m/>
    <m/>
    <m/>
    <m/>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382"/>
    <x v="198"/>
    <x v="1"/>
    <s v="QNAP"/>
    <m/>
    <m/>
    <s v="US"/>
    <s v="Yes"/>
    <m/>
    <m/>
    <m/>
    <m/>
    <s v="Yes"/>
    <m/>
    <m/>
    <s v="No"/>
    <m/>
    <m/>
    <m/>
    <s v="Vince suggested the name is changed to qSIM and to check with Amit"/>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83"/>
    <x v="199"/>
    <x v="2"/>
    <s v="IBM"/>
    <m/>
    <s v="Enterprise"/>
    <m/>
    <s v="Yes"/>
    <m/>
    <s v="On Premises (Client/Server)"/>
    <m/>
    <s v="No"/>
    <m/>
    <m/>
    <m/>
    <s v="No"/>
    <m/>
    <s v="Trevor Very / Archana Sinha"/>
    <d v="2021-11-15T00:00:00"/>
    <s v="Nov 15, 2021 via Trevor Very / Archana Sinha"/>
    <d v="2021-11-15T00:00:00"/>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84"/>
    <x v="6"/>
    <x v="1"/>
    <s v="Minitab, Inc."/>
    <m/>
    <m/>
    <s v="Puerto Rico"/>
    <m/>
    <m/>
    <s v="Desktop"/>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85"/>
    <x v="200"/>
    <x v="1"/>
    <s v="Qualtrics"/>
    <m/>
    <m/>
    <m/>
    <m/>
    <s v="Other"/>
    <m/>
    <m/>
    <m/>
    <m/>
    <m/>
    <m/>
    <m/>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386"/>
    <x v="6"/>
    <x v="1"/>
    <s v="Quark"/>
    <m/>
    <m/>
    <s v="Puerto Rico"/>
    <m/>
    <m/>
    <s v="Desktop"/>
    <m/>
    <m/>
    <m/>
    <m/>
    <m/>
    <s v="Y"/>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387"/>
    <x v="6"/>
    <x v="1"/>
    <s v="Quark"/>
    <m/>
    <m/>
    <s v="Puerto Rico"/>
    <m/>
    <m/>
    <m/>
    <m/>
    <m/>
    <m/>
    <m/>
    <m/>
    <s v="Y"/>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388"/>
    <x v="6"/>
    <x v="1"/>
    <s v="Quest"/>
    <m/>
    <m/>
    <s v="Plainsboro Corp"/>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89"/>
    <x v="6"/>
    <x v="1"/>
    <s v="Quickbasic"/>
    <m/>
    <m/>
    <s v="Puerto Rico"/>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0"/>
    <x v="6"/>
    <x v="1"/>
    <s v="Quickcheckpc"/>
    <m/>
    <m/>
    <s v="Billerica"/>
    <m/>
    <m/>
    <s v="Desktop"/>
    <m/>
    <m/>
    <m/>
    <m/>
    <m/>
    <s v="N"/>
    <m/>
    <m/>
    <m/>
    <s v="Unknown IS Own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1"/>
    <x v="201"/>
    <x v="1"/>
    <s v="Apple"/>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2"/>
    <x v="33"/>
    <x v="1"/>
    <s v="Mitutoyo"/>
    <m/>
    <m/>
    <s v="Cincinnati"/>
    <m/>
    <m/>
    <s v="Desktop"/>
    <m/>
    <m/>
    <m/>
    <m/>
    <m/>
    <s v="No"/>
    <m/>
    <s v="Michael Patterson"/>
    <d v="2021-11-16T00:00:00"/>
    <s v="Nov 16, 2021 via Michael Patterson"/>
    <d v="2021-11-16T00:00:00"/>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393"/>
    <x v="6"/>
    <x v="1"/>
    <s v="R"/>
    <m/>
    <m/>
    <s v="Puerto Rico"/>
    <m/>
    <m/>
    <s v="Desktop"/>
    <m/>
    <m/>
    <m/>
    <m/>
    <m/>
    <s v="Y"/>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394"/>
    <x v="202"/>
    <x v="2"/>
    <s v="Draycon Labs"/>
    <m/>
    <m/>
    <s v="Plainsboro Corp"/>
    <m/>
    <s v="Azure"/>
    <s v="Web"/>
    <m/>
    <s v="Yes"/>
    <m/>
    <m/>
    <s v="T4"/>
    <s v="No"/>
    <m/>
    <s v="Vincent Lu; Andrew Mesaris; David Zarduski"/>
    <d v="2022-03-28T00:00:00"/>
    <s v="March 28, 2022 via Vincent Lu; Andrew Mesaris; David Zarduski"/>
    <d v="2022-03-28T00:00:00"/>
    <m/>
    <m/>
    <x v="0"/>
    <x v="17"/>
    <s v="Discovery, Development and PreClinical covers vendors and offerings primarily focused on Discovery, Drug, Analysis, and Computational. Common associated descriptions include: AI-driven antibody selection and reagent platform; Chemical informatics software for drug discovery and research; Computational chemistry software for drug discovery and materials research; Computational immunology and vaccine design services; Drug discovery software for compound design and data analysis; and 14 additional related offerings."/>
  </r>
  <r>
    <x v="395"/>
    <x v="203"/>
    <x v="1"/>
    <s v="Radmin/ Famatech International Corp"/>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6"/>
    <x v="204"/>
    <x v="2"/>
    <s v="RapidSVN Group"/>
    <m/>
    <m/>
    <s v="Billerica"/>
    <m/>
    <m/>
    <s v="Local"/>
    <m/>
    <m/>
    <m/>
    <m/>
    <m/>
    <s v="No"/>
    <m/>
    <s v="Gary Beckmann"/>
    <d v="2022-01-20T00:00:00"/>
    <s v="Jan 20, 2022 via Gary Beckmann"/>
    <d v="2022-01-20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7"/>
    <x v="205"/>
    <x v="1"/>
    <s v="GetData"/>
    <m/>
    <m/>
    <m/>
    <m/>
    <m/>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8"/>
    <x v="6"/>
    <x v="1"/>
    <s v="Microsoft?"/>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399"/>
    <x v="206"/>
    <x v="17"/>
    <s v="Renishaw"/>
    <m/>
    <m/>
    <s v="Cincinnati"/>
    <m/>
    <m/>
    <s v="Desktop"/>
    <m/>
    <m/>
    <m/>
    <m/>
    <m/>
    <s v="No"/>
    <m/>
    <s v="Michael Patterson"/>
    <s v="Nov 22 2021"/>
    <s v="Nov 22, 2021 via Michael Patterson- check Status"/>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00"/>
    <x v="6"/>
    <x v="11"/>
    <s v="Replicon"/>
    <m/>
    <m/>
    <s v="Dublin, Tullamore"/>
    <m/>
    <s v="Other"/>
    <s v="Saas"/>
    <m/>
    <m/>
    <m/>
    <m/>
    <m/>
    <s v="No"/>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01"/>
    <x v="207"/>
    <x v="1"/>
    <m/>
    <m/>
    <m/>
    <m/>
    <m/>
    <s v="Other"/>
    <m/>
    <m/>
    <m/>
    <m/>
    <m/>
    <m/>
    <m/>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02"/>
    <x v="6"/>
    <x v="1"/>
    <m/>
    <m/>
    <m/>
    <m/>
    <m/>
    <s v="Other"/>
    <m/>
    <m/>
    <m/>
    <m/>
    <m/>
    <m/>
    <m/>
    <m/>
    <m/>
    <m/>
    <m/>
    <m/>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403"/>
    <x v="208"/>
    <x v="1"/>
    <s v="OpenText"/>
    <m/>
    <m/>
    <s v="Americas (US)"/>
    <s v="Yes"/>
    <m/>
    <m/>
    <m/>
    <m/>
    <s v="Yes"/>
    <s v="NTL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04"/>
    <x v="209"/>
    <x v="7"/>
    <m/>
    <m/>
    <m/>
    <m/>
    <m/>
    <s v="Other"/>
    <s v="Saas"/>
    <m/>
    <m/>
    <m/>
    <m/>
    <m/>
    <m/>
    <m/>
    <m/>
    <m/>
    <m/>
    <m/>
    <s v="Veeva platfor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405"/>
    <x v="210"/>
    <x v="1"/>
    <s v="RingCentral"/>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06"/>
    <x v="107"/>
    <x v="1"/>
    <m/>
    <m/>
    <s v="Enterprise"/>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07"/>
    <x v="6"/>
    <x v="1"/>
    <s v="Roi"/>
    <m/>
    <m/>
    <s v="Plainsboro Corp"/>
    <s v="Yes"/>
    <m/>
    <s v="On Premises (Client/Server)"/>
    <m/>
    <m/>
    <m/>
    <m/>
    <m/>
    <s v="NA"/>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08"/>
    <x v="211"/>
    <x v="0"/>
    <s v="Aptean"/>
    <m/>
    <m/>
    <m/>
    <m/>
    <s v="Other"/>
    <m/>
    <m/>
    <m/>
    <m/>
    <m/>
    <m/>
    <m/>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09"/>
    <x v="212"/>
    <x v="1"/>
    <s v="Roxio"/>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10"/>
    <x v="213"/>
    <x v="1"/>
    <s v="RSA"/>
    <m/>
    <m/>
    <m/>
    <m/>
    <m/>
    <m/>
    <m/>
    <m/>
    <m/>
    <m/>
    <m/>
    <m/>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11"/>
    <x v="214"/>
    <x v="2"/>
    <s v="Saba"/>
    <m/>
    <m/>
    <s v="Corporate (expanding to all sites)"/>
    <m/>
    <s v="Other"/>
    <s v="Cloud"/>
    <m/>
    <s v="Yes"/>
    <m/>
    <m/>
    <s v="T2?"/>
    <s v="Yes"/>
    <n v="4"/>
    <s v="John O'Callaghan"/>
    <d v="2022-04-07T00:00:00"/>
    <s v="April 7, 2022 via John O'Callaghan"/>
    <d v="2022-04-07T00:00:00"/>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12"/>
    <x v="6"/>
    <x v="2"/>
    <m/>
    <m/>
    <m/>
    <m/>
    <m/>
    <s v="OCI"/>
    <s v="OCI"/>
    <m/>
    <m/>
    <m/>
    <m/>
    <s v="T1"/>
    <m/>
    <m/>
    <m/>
    <m/>
    <m/>
    <m/>
    <s v="Move to OneSource (cloud migration) in progress. Plan is to exit in July 2026"/>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13"/>
    <x v="215"/>
    <x v="16"/>
    <s v="MISys"/>
    <m/>
    <m/>
    <s v="Americas - Canada and US AP/AR Derma (residual)"/>
    <s v="Yes"/>
    <m/>
    <m/>
    <m/>
    <m/>
    <m/>
    <m/>
    <m/>
    <s v="Yes"/>
    <n v="4"/>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14"/>
    <x v="6"/>
    <x v="0"/>
    <s v="Sage"/>
    <m/>
    <m/>
    <s v="Canada"/>
    <s v="Yes"/>
    <m/>
    <s v="On Premises (Client/Server)"/>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15"/>
    <x v="6"/>
    <x v="1"/>
    <s v="Sage"/>
    <m/>
    <m/>
    <s v="Puerto Rico"/>
    <m/>
    <m/>
    <s v="Desktop"/>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16"/>
    <x v="6"/>
    <x v="1"/>
    <s v="Sage/HTK"/>
    <m/>
    <m/>
    <s v="Kiel"/>
    <s v="Yes"/>
    <m/>
    <s v="On Premises (Client/Server)"/>
    <m/>
    <m/>
    <m/>
    <m/>
    <m/>
    <m/>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17"/>
    <x v="6"/>
    <x v="1"/>
    <s v="Sage"/>
    <m/>
    <m/>
    <s v="Kiel"/>
    <s v="Yes"/>
    <m/>
    <s v="On Premises (Client/Server)"/>
    <m/>
    <m/>
    <m/>
    <m/>
    <m/>
    <s v="N"/>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18"/>
    <x v="216"/>
    <x v="2"/>
    <s v="Salesforce.com"/>
    <m/>
    <m/>
    <s v="Multi-Site : ILS France, Zaventem, Andover, Ratingen, Plan Les Ouates"/>
    <m/>
    <s v="Other"/>
    <s v="Saas"/>
    <m/>
    <m/>
    <m/>
    <m/>
    <m/>
    <s v="No"/>
    <m/>
    <m/>
    <m/>
    <m/>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419"/>
    <x v="130"/>
    <x v="1"/>
    <m/>
    <m/>
    <m/>
    <m/>
    <m/>
    <m/>
    <m/>
    <m/>
    <m/>
    <m/>
    <m/>
    <m/>
    <m/>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420"/>
    <x v="6"/>
    <x v="2"/>
    <m/>
    <m/>
    <m/>
    <m/>
    <m/>
    <m/>
    <m/>
    <m/>
    <m/>
    <m/>
    <m/>
    <m/>
    <m/>
    <m/>
    <m/>
    <m/>
    <s v="Richard Eisner as a possible contact"/>
    <m/>
    <s v="Platform deployed by Guidant Global/Procurement for contractors sourcing. SOW module currently discussed."/>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21"/>
    <x v="6"/>
    <x v="1"/>
    <s v="SpecView"/>
    <m/>
    <m/>
    <s v="Plainsboro 105/109"/>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22"/>
    <x v="6"/>
    <x v="1"/>
    <m/>
    <m/>
    <m/>
    <s v="Puerto Rico"/>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23"/>
    <x v="217"/>
    <x v="2"/>
    <s v="Microsoft"/>
    <m/>
    <s v="Enterprise"/>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24"/>
    <x v="33"/>
    <x v="1"/>
    <s v="Scion"/>
    <m/>
    <m/>
    <s v="Plainsboro 105"/>
    <m/>
    <m/>
    <m/>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25"/>
    <x v="218"/>
    <x v="1"/>
    <s v="Microsoft"/>
    <m/>
    <s v="Enterprise"/>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26"/>
    <x v="219"/>
    <x v="1"/>
    <s v="FEMA"/>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27"/>
    <x v="130"/>
    <x v="1"/>
    <m/>
    <m/>
    <m/>
    <m/>
    <m/>
    <m/>
    <m/>
    <m/>
    <m/>
    <m/>
    <m/>
    <m/>
    <m/>
    <m/>
    <m/>
    <m/>
    <s v="server?"/>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428"/>
    <x v="6"/>
    <x v="1"/>
    <s v="Honeywell"/>
    <m/>
    <m/>
    <s v="US"/>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29"/>
    <x v="107"/>
    <x v="1"/>
    <m/>
    <m/>
    <m/>
    <s v="Americas"/>
    <s v="Yes"/>
    <m/>
    <m/>
    <m/>
    <m/>
    <m/>
    <m/>
    <m/>
    <s v="No"/>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30"/>
    <x v="6"/>
    <x v="1"/>
    <s v="Instron?"/>
    <m/>
    <m/>
    <s v="Plainsboro 105"/>
    <m/>
    <m/>
    <m/>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31"/>
    <x v="6"/>
    <x v="1"/>
    <m/>
    <m/>
    <m/>
    <m/>
    <m/>
    <s v="OCI"/>
    <m/>
    <m/>
    <m/>
    <m/>
    <m/>
    <s v="T1"/>
    <m/>
    <m/>
    <m/>
    <m/>
    <s v="from 10 critical app list"/>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2"/>
    <x v="220"/>
    <x v="2"/>
    <s v="ServiceNow"/>
    <m/>
    <m/>
    <m/>
    <m/>
    <s v="Other"/>
    <s v="Saas"/>
    <m/>
    <s v="Yes"/>
    <m/>
    <m/>
    <m/>
    <s v="Yes"/>
    <s v="4, 5"/>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3"/>
    <x v="6"/>
    <x v="1"/>
    <s v="ServiceNow"/>
    <m/>
    <s v="Enterprise"/>
    <m/>
    <s v="Yes"/>
    <m/>
    <m/>
    <m/>
    <m/>
    <m/>
    <m/>
    <m/>
    <s v="No"/>
    <m/>
    <m/>
    <m/>
    <s v="server, hold information on servicenow. Ask john feist"/>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4"/>
    <x v="60"/>
    <x v="1"/>
    <s v="Microsoft"/>
    <m/>
    <s v="Enterprise"/>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4"/>
    <x v="33"/>
    <x v="5"/>
    <s v="Microsoft"/>
    <m/>
    <m/>
    <s v="Puerto Rico"/>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5"/>
    <x v="221"/>
    <x v="1"/>
    <s v="Microsoft"/>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6"/>
    <x v="222"/>
    <x v="1"/>
    <m/>
    <m/>
    <m/>
    <m/>
    <m/>
    <s v="Other"/>
    <s v="Saas"/>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7"/>
    <x v="6"/>
    <x v="15"/>
    <s v="Microsoft"/>
    <m/>
    <m/>
    <s v="Multi-Site: Andover, Austin, Boston, Biot, Billerica, Cincinnati, Dublin, Ghent, Guzman, Kiel, Lyon, Plainsboro Corp, Germany, Salt Lake, San Diego, St Paul, Tullamore, Waltham, York, Zavante BE"/>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8"/>
    <x v="6"/>
    <x v="1"/>
    <s v="ShowPad"/>
    <m/>
    <m/>
    <m/>
    <m/>
    <m/>
    <m/>
    <m/>
    <m/>
    <m/>
    <m/>
    <m/>
    <m/>
    <m/>
    <m/>
    <m/>
    <m/>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439"/>
    <x v="6"/>
    <x v="7"/>
    <m/>
    <m/>
    <m/>
    <m/>
    <m/>
    <m/>
    <m/>
    <m/>
    <m/>
    <m/>
    <m/>
    <m/>
    <s v="Yes"/>
    <n v="3"/>
    <s v="Kevin McParland"/>
    <d v="2022-05-12T00:00:00"/>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440"/>
    <x v="223"/>
    <x v="1"/>
    <m/>
    <m/>
    <m/>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40"/>
    <x v="6"/>
    <x v="1"/>
    <s v="ServerSIM"/>
    <m/>
    <s v="Enterprise"/>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41"/>
    <x v="224"/>
    <x v="2"/>
    <s v="Simplify3d"/>
    <m/>
    <m/>
    <s v="Cincinnati"/>
    <s v="Yes"/>
    <m/>
    <m/>
    <m/>
    <m/>
    <m/>
    <m/>
    <m/>
    <s v="N"/>
    <m/>
    <s v="Michael Patterson"/>
    <d v="2021-11-16T00:00:00"/>
    <s v="Nov 16, 2021 via Michael Patterson- check Status"/>
    <d v="2021-11-16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42"/>
    <x v="6"/>
    <x v="1"/>
    <s v="SmartDraw"/>
    <m/>
    <m/>
    <s v="Puerto Rico"/>
    <m/>
    <m/>
    <s v="Desktop"/>
    <m/>
    <m/>
    <m/>
    <m/>
    <m/>
    <s v="N"/>
    <m/>
    <m/>
    <m/>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443"/>
    <x v="204"/>
    <x v="2"/>
    <s v="Syntevo"/>
    <m/>
    <m/>
    <s v="Billerica"/>
    <m/>
    <m/>
    <s v="Local"/>
    <m/>
    <m/>
    <m/>
    <m/>
    <m/>
    <s v="No"/>
    <m/>
    <s v="Gary Beckmann"/>
    <d v="2022-01-20T00:00:00"/>
    <s v="Jan 20, 2022 via Gary Beckmann"/>
    <d v="2022-01-20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44"/>
    <x v="225"/>
    <x v="1"/>
    <s v="SmartTrak"/>
    <m/>
    <m/>
    <m/>
    <m/>
    <s v="Other"/>
    <m/>
    <m/>
    <m/>
    <m/>
    <m/>
    <m/>
    <m/>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445"/>
    <x v="226"/>
    <x v="4"/>
    <m/>
    <m/>
    <m/>
    <m/>
    <m/>
    <m/>
    <m/>
    <m/>
    <m/>
    <s v="Yes"/>
    <s v="Kerberos"/>
    <m/>
    <m/>
    <m/>
    <s v="Vincent Lu"/>
    <d v="2023-03-16T00:00:00"/>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46"/>
    <x v="6"/>
    <x v="1"/>
    <s v="Molecular Devices"/>
    <m/>
    <m/>
    <s v="Plainsboro Corp"/>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47"/>
    <x v="227"/>
    <x v="1"/>
    <m/>
    <m/>
    <s v="Enterprise"/>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48"/>
    <x v="228"/>
    <x v="1"/>
    <s v="SolarWinds"/>
    <m/>
    <s v="Enterprise"/>
    <m/>
    <s v="Yes"/>
    <m/>
    <s v="On Premises (Client/Server)"/>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49"/>
    <x v="229"/>
    <x v="1"/>
    <s v="SolarWinds"/>
    <m/>
    <m/>
    <s v="Corporate"/>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50"/>
    <x v="230"/>
    <x v="2"/>
    <s v="Dassault Systèmes S.A."/>
    <m/>
    <m/>
    <s v="Cincinnati"/>
    <s v="Yes"/>
    <m/>
    <s v="Desktop"/>
    <m/>
    <m/>
    <m/>
    <m/>
    <m/>
    <s v="Y"/>
    <m/>
    <s v="Michael Patterson"/>
    <d v="2021-11-16T00:00:00"/>
    <s v="Nov 16, 2021 via Michael Patterson- check Status"/>
    <d v="2021-11-16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50"/>
    <x v="6"/>
    <x v="1"/>
    <s v="Dassault Systèmes S.A."/>
    <m/>
    <m/>
    <s v="Plainsboro Corp"/>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51"/>
    <x v="6"/>
    <x v="1"/>
    <s v="Dassault Systèmes S.A."/>
    <m/>
    <m/>
    <s v="Andover"/>
    <s v="Yes"/>
    <m/>
    <s v="On Premises (Client/Server)"/>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52"/>
    <x v="6"/>
    <x v="1"/>
    <s v="Dassault Systèmes S.A."/>
    <m/>
    <m/>
    <s v="Germany"/>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53"/>
    <x v="34"/>
    <x v="1"/>
    <s v="Dassault Systèmes S.A."/>
    <m/>
    <m/>
    <s v="Americas - Mansfield"/>
    <s v="Yes"/>
    <m/>
    <m/>
    <m/>
    <m/>
    <m/>
    <m/>
    <m/>
    <s v="No"/>
    <m/>
    <m/>
    <m/>
    <s v="server?"/>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54"/>
    <x v="6"/>
    <x v="1"/>
    <s v="Dassault Systèmes S.A."/>
    <m/>
    <m/>
    <s v="Plainsboro Corp"/>
    <m/>
    <m/>
    <s v="Desktop"/>
    <m/>
    <m/>
    <m/>
    <m/>
    <m/>
    <s v="N"/>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55"/>
    <x v="231"/>
    <x v="1"/>
    <s v="Shareworks"/>
    <m/>
    <m/>
    <m/>
    <m/>
    <s v="Other"/>
    <m/>
    <m/>
    <m/>
    <m/>
    <m/>
    <m/>
    <m/>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56"/>
    <x v="232"/>
    <x v="1"/>
    <s v="SOTI"/>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57"/>
    <x v="233"/>
    <x v="1"/>
    <s v="Sovos Compliance"/>
    <m/>
    <m/>
    <s v="Princeton, NJ"/>
    <m/>
    <s v="Other"/>
    <s v="Saas"/>
    <m/>
    <m/>
    <m/>
    <m/>
    <m/>
    <s v="No"/>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58"/>
    <x v="6"/>
    <x v="1"/>
    <s v="Spectroscopy"/>
    <m/>
    <m/>
    <s v="Plainsboro 105"/>
    <s v="Yes"/>
    <m/>
    <m/>
    <m/>
    <m/>
    <m/>
    <m/>
    <m/>
    <s v="N"/>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59"/>
    <x v="234"/>
    <x v="1"/>
    <s v="Spiceworks"/>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60"/>
    <x v="235"/>
    <x v="1"/>
    <s v="Sprout Social"/>
    <m/>
    <m/>
    <m/>
    <m/>
    <s v="Other"/>
    <m/>
    <m/>
    <m/>
    <m/>
    <m/>
    <m/>
    <m/>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461"/>
    <x v="6"/>
    <x v="1"/>
    <m/>
    <m/>
    <m/>
    <s v="Corporate"/>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62"/>
    <x v="47"/>
    <x v="1"/>
    <s v="Square 9 Softworks"/>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63"/>
    <x v="236"/>
    <x v="2"/>
    <s v="Tsugami"/>
    <m/>
    <m/>
    <s v="Cincinnati"/>
    <m/>
    <m/>
    <s v="Desktop"/>
    <m/>
    <m/>
    <m/>
    <m/>
    <m/>
    <s v="N"/>
    <m/>
    <s v="Michael Patterson"/>
    <d v="2021-11-16T00:00:00"/>
    <s v="Nov 16, 2021 via Michael Patterson"/>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64"/>
    <x v="237"/>
    <x v="1"/>
    <s v="Microsoft?"/>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65"/>
    <x v="6"/>
    <x v="11"/>
    <s v="VIGILEC"/>
    <m/>
    <m/>
    <s v="St. Aubin"/>
    <m/>
    <m/>
    <s v="Desktop"/>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66"/>
    <x v="6"/>
    <x v="1"/>
    <s v="Mettler-Toledo"/>
    <m/>
    <m/>
    <s v="Plainsboro Corp, Plainsboro 105"/>
    <m/>
    <m/>
    <s v="Local"/>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67"/>
    <x v="238"/>
    <x v="1"/>
    <m/>
    <m/>
    <m/>
    <m/>
    <m/>
    <s v="Other"/>
    <m/>
    <m/>
    <m/>
    <m/>
    <m/>
    <m/>
    <m/>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468"/>
    <x v="6"/>
    <x v="11"/>
    <s v="Statgraphic"/>
    <m/>
    <m/>
    <s v="BIOT / Lyon"/>
    <s v="Yes"/>
    <m/>
    <s v="On Premises (Client/Server)"/>
    <m/>
    <m/>
    <m/>
    <m/>
    <m/>
    <s v="N"/>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469"/>
    <x v="239"/>
    <x v="0"/>
    <m/>
    <m/>
    <m/>
    <m/>
    <m/>
    <s v="Other"/>
    <s v="Saas"/>
    <m/>
    <m/>
    <m/>
    <m/>
    <m/>
    <s v="No"/>
    <m/>
    <m/>
    <m/>
    <m/>
    <m/>
    <s v="Solution removed. Replaced by Porzio to track engagement with HCPs"/>
    <m/>
    <x v="0"/>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470"/>
    <x v="240"/>
    <x v="1"/>
    <s v="Strategy Companion"/>
    <m/>
    <m/>
    <m/>
    <m/>
    <s v="Other"/>
    <m/>
    <m/>
    <m/>
    <m/>
    <m/>
    <m/>
    <m/>
    <m/>
    <m/>
    <m/>
    <m/>
    <m/>
    <m/>
    <m/>
    <x v="0"/>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471"/>
    <x v="6"/>
    <x v="1"/>
    <s v="Olympus"/>
    <m/>
    <m/>
    <s v="Plainsboro Corp"/>
    <m/>
    <m/>
    <s v="Local"/>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72"/>
    <x v="241"/>
    <x v="2"/>
    <s v="CentOS SlikSVN + Apache Software Foundation"/>
    <m/>
    <m/>
    <s v="Billerica"/>
    <s v="Yes"/>
    <m/>
    <s v="On Premises (Client/Server)"/>
    <m/>
    <m/>
    <m/>
    <m/>
    <m/>
    <s v="No"/>
    <m/>
    <s v="Gary Beckmann"/>
    <d v="2022-01-20T00:00:00"/>
    <s v="Jan 20, 2022 via Gary Beckmann"/>
    <d v="2022-01-20T00:00:00"/>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73"/>
    <x v="242"/>
    <x v="5"/>
    <s v="SugarSync"/>
    <m/>
    <m/>
    <s v="Multi-Site"/>
    <m/>
    <s v="Other"/>
    <s v="Saas"/>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74"/>
    <x v="33"/>
    <x v="1"/>
    <s v="Microvision Development"/>
    <m/>
    <m/>
    <s v="Cincinnati"/>
    <m/>
    <m/>
    <s v="Desktop"/>
    <m/>
    <m/>
    <m/>
    <m/>
    <m/>
    <s v="N"/>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75"/>
    <x v="243"/>
    <x v="1"/>
    <s v="SurfWare"/>
    <m/>
    <m/>
    <s v="Cincinnati"/>
    <s v="Yes"/>
    <m/>
    <s v="Desktop"/>
    <m/>
    <m/>
    <m/>
    <m/>
    <m/>
    <s v="N"/>
    <m/>
    <s v="Michael Patterson"/>
    <d v="2021-11-16T00:00:00"/>
    <s v="Nov 16, 2021 via Michael Patterson- check Status"/>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76"/>
    <x v="33"/>
    <x v="1"/>
    <s v="Integra_ISDevelopedScript"/>
    <m/>
    <m/>
    <s v="Multi-Site"/>
    <s v="Yes"/>
    <m/>
    <s v="On Premises (Client/Server)"/>
    <m/>
    <m/>
    <m/>
    <m/>
    <m/>
    <s v="Yes"/>
    <n v="4"/>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477"/>
    <x v="6"/>
    <x v="1"/>
    <s v="Surveilix"/>
    <m/>
    <m/>
    <s v="Puerto Rico"/>
    <m/>
    <m/>
    <s v="Desktop"/>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78"/>
    <x v="244"/>
    <x v="1"/>
    <s v="Survey Monkey"/>
    <m/>
    <m/>
    <m/>
    <m/>
    <m/>
    <m/>
    <m/>
    <m/>
    <m/>
    <m/>
    <m/>
    <m/>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479"/>
    <x v="245"/>
    <x v="2"/>
    <s v="Apache Subversion"/>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80"/>
    <x v="246"/>
    <x v="1"/>
    <m/>
    <m/>
    <m/>
    <s v="Corporate"/>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81"/>
    <x v="243"/>
    <x v="1"/>
    <s v="Delcam"/>
    <m/>
    <m/>
    <s v="Cincinnati"/>
    <s v="Yes"/>
    <m/>
    <s v="Desktop"/>
    <m/>
    <m/>
    <m/>
    <m/>
    <m/>
    <s v="N"/>
    <m/>
    <s v="Michael Patterson"/>
    <d v="2021-01-16T00:00:00"/>
    <s v="Nov 16, 2021 via Michael Patterson- check Status"/>
    <d v="2021-01-16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82"/>
    <x v="247"/>
    <x v="18"/>
    <s v="Symantec"/>
    <m/>
    <m/>
    <m/>
    <m/>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83"/>
    <x v="248"/>
    <x v="1"/>
    <s v="iolo"/>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84"/>
    <x v="6"/>
    <x v="1"/>
    <s v="TA instruments"/>
    <m/>
    <m/>
    <s v="Plainsboro"/>
    <m/>
    <m/>
    <m/>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85"/>
    <x v="249"/>
    <x v="1"/>
    <s v="Softwright"/>
    <m/>
    <m/>
    <m/>
    <m/>
    <s v="Other"/>
    <m/>
    <m/>
    <m/>
    <m/>
    <m/>
    <m/>
    <m/>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86"/>
    <x v="250"/>
    <x v="2"/>
    <s v="Siemens"/>
    <m/>
    <m/>
    <s v="Americas - Mansfield"/>
    <s v="Yes"/>
    <m/>
    <s v="On Premises (Client/Server)"/>
    <m/>
    <s v="Yes"/>
    <m/>
    <m/>
    <s v="T4"/>
    <s v="Yes"/>
    <n v="4"/>
    <s v="John O'Callaghan"/>
    <d v="2022-04-07T00:00:00"/>
    <s v="April 7, 2022 via John O'Callaghan"/>
    <d v="2022-04-07T00:00:00"/>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487"/>
    <x v="6"/>
    <x v="1"/>
    <s v="Adobe"/>
    <m/>
    <m/>
    <s v="Billerica"/>
    <m/>
    <m/>
    <s v="Desktop"/>
    <m/>
    <m/>
    <m/>
    <m/>
    <m/>
    <s v="N"/>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488"/>
    <x v="107"/>
    <x v="1"/>
    <m/>
    <m/>
    <m/>
    <s v="Corporate"/>
    <s v="Yes"/>
    <m/>
    <m/>
    <m/>
    <m/>
    <m/>
    <m/>
    <m/>
    <s v="No"/>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89"/>
    <x v="6"/>
    <x v="1"/>
    <s v="Testworks"/>
    <m/>
    <m/>
    <s v="Puerto Rico"/>
    <m/>
    <m/>
    <s v="Desktop"/>
    <m/>
    <m/>
    <m/>
    <m/>
    <m/>
    <s v="Y"/>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90"/>
    <x v="251"/>
    <x v="1"/>
    <s v="ThreadCheck/ Osborne? Or ThreadTech Inc.?"/>
    <m/>
    <m/>
    <m/>
    <m/>
    <s v="Other"/>
    <m/>
    <m/>
    <m/>
    <m/>
    <m/>
    <m/>
    <m/>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491"/>
    <x v="6"/>
    <x v="4"/>
    <m/>
    <m/>
    <m/>
    <m/>
    <m/>
    <m/>
    <m/>
    <m/>
    <m/>
    <m/>
    <m/>
    <m/>
    <s v="No"/>
    <m/>
    <s v="Kevin McParland"/>
    <d v="2022-05-12T00:00:00"/>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92"/>
    <x v="203"/>
    <x v="1"/>
    <s v="TightVNC"/>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93"/>
    <x v="6"/>
    <x v="1"/>
    <m/>
    <m/>
    <m/>
    <m/>
    <m/>
    <s v="Other"/>
    <m/>
    <m/>
    <m/>
    <m/>
    <m/>
    <m/>
    <m/>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94"/>
    <x v="6"/>
    <x v="1"/>
    <s v="PerkinElmer"/>
    <m/>
    <m/>
    <s v="Plainsboro Corp"/>
    <m/>
    <m/>
    <s v="Local"/>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495"/>
    <x v="252"/>
    <x v="2"/>
    <s v="Sparta Systems Inc"/>
    <m/>
    <s v="Enterprise"/>
    <m/>
    <s v="Yes"/>
    <m/>
    <s v="On Premises (Client/Server)"/>
    <m/>
    <s v="Yes"/>
    <s v="Yes"/>
    <s v="LDAP"/>
    <s v="T1"/>
    <s v="Yes"/>
    <n v="4"/>
    <s v="Vincent Lu"/>
    <d v="2023-05-10T00:00:00"/>
    <s v="Jan 19, 2022 via Kanaka Nair"/>
    <d v="2022-01-19T00:00:00"/>
    <m/>
    <s v="TW On Prem to be retired once Complaint is moved to TrackWise Digital"/>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496"/>
    <x v="253"/>
    <x v="11"/>
    <s v="TraLabs + Liberty Labs"/>
    <m/>
    <m/>
    <s v="Tullamore"/>
    <m/>
    <s v="Other"/>
    <s v="Saas"/>
    <m/>
    <m/>
    <m/>
    <m/>
    <m/>
    <s v="in-process"/>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97"/>
    <x v="254"/>
    <x v="1"/>
    <s v="Harrington Group"/>
    <m/>
    <m/>
    <s v="Salt Lake city"/>
    <m/>
    <m/>
    <s v="Desktop"/>
    <m/>
    <m/>
    <m/>
    <m/>
    <m/>
    <s v="N"/>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498"/>
    <x v="255"/>
    <x v="1"/>
    <s v="Atlassian"/>
    <m/>
    <m/>
    <m/>
    <m/>
    <s v="Other"/>
    <m/>
    <m/>
    <m/>
    <m/>
    <m/>
    <m/>
    <m/>
    <m/>
    <m/>
    <m/>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499"/>
    <x v="256"/>
    <x v="1"/>
    <s v="Idera Inc."/>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0"/>
    <x v="33"/>
    <x v="1"/>
    <m/>
    <m/>
    <m/>
    <s v="Germany"/>
    <m/>
    <m/>
    <s v="Local"/>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1"/>
    <x v="257"/>
    <x v="1"/>
    <m/>
    <m/>
    <m/>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1"/>
    <x v="258"/>
    <x v="1"/>
    <s v="uniFLOW"/>
    <m/>
    <m/>
    <s v="US"/>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2"/>
    <x v="6"/>
    <x v="1"/>
    <s v="TA instruments"/>
    <m/>
    <m/>
    <s v="Plainsboro Corp"/>
    <m/>
    <m/>
    <m/>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503"/>
    <x v="259"/>
    <x v="1"/>
    <m/>
    <m/>
    <m/>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4"/>
    <x v="6"/>
    <x v="1"/>
    <s v="Microsoft"/>
    <m/>
    <m/>
    <s v="All EU"/>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5"/>
    <x v="105"/>
    <x v="1"/>
    <s v="UPS"/>
    <m/>
    <m/>
    <s v="Austin, Cincinnati, Salt Lake"/>
    <m/>
    <m/>
    <s v="Desktop"/>
    <m/>
    <m/>
    <m/>
    <m/>
    <m/>
    <s v="N"/>
    <m/>
    <s v="Michael Patterson"/>
    <d v="2021-11-16T00:00:00"/>
    <s v="Nov 16, 2021 via Michael Patterson"/>
    <d v="2021-11-16T00:00:00"/>
    <m/>
    <m/>
    <x v="0"/>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506"/>
    <x v="33"/>
    <x v="1"/>
    <m/>
    <m/>
    <m/>
    <s v="Puerto Rico"/>
    <m/>
    <m/>
    <m/>
    <m/>
    <m/>
    <m/>
    <m/>
    <m/>
    <s v="Yes"/>
    <n v="3"/>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07"/>
    <x v="260"/>
    <x v="2"/>
    <s v="USP"/>
    <m/>
    <m/>
    <s v="CMC, Le Locle, Anasco"/>
    <m/>
    <s v="Other"/>
    <s v="Web"/>
    <m/>
    <s v="No"/>
    <m/>
    <m/>
    <s v="T4"/>
    <s v="No"/>
    <m/>
    <s v="Sara Oberrecht"/>
    <d v="2022-03-25T00:00:00"/>
    <s v="March 25, 2022 via Sara Oberrecht"/>
    <d v="2022-03-25T00:00:00"/>
    <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508"/>
    <x v="261"/>
    <x v="1"/>
    <m/>
    <m/>
    <m/>
    <s v="Corporate"/>
    <s v="Yes"/>
    <m/>
    <s v="On Premises (Client/Server)"/>
    <m/>
    <m/>
    <m/>
    <m/>
    <m/>
    <s v="No"/>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509"/>
    <x v="6"/>
    <x v="1"/>
    <s v="Perkin Elmer"/>
    <m/>
    <m/>
    <s v="Plainsboro Corp"/>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510"/>
    <x v="6"/>
    <x v="1"/>
    <s v="Vaisala"/>
    <m/>
    <m/>
    <s v="Puerto Rico"/>
    <s v="Yes"/>
    <m/>
    <s v="On Premises (Client/Server)"/>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511"/>
    <x v="262"/>
    <x v="2"/>
    <s v="ValGenesis Inc."/>
    <m/>
    <m/>
    <s v="Corporate"/>
    <m/>
    <s v="Azure"/>
    <s v="Web"/>
    <m/>
    <s v="Yes"/>
    <m/>
    <m/>
    <s v="Integrated with SSO, so SSO authentication is required to use the application."/>
    <s v="Yes"/>
    <m/>
    <s v="Jennifer Zaleski"/>
    <d v="2022-04-01T00:00:00"/>
    <s v="April 1, 2022 via Jennifer Zaleski"/>
    <d v="2022-04-01T00:00:00"/>
    <m/>
    <m/>
    <x v="0"/>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512"/>
    <x v="6"/>
    <x v="1"/>
    <m/>
    <m/>
    <m/>
    <m/>
    <m/>
    <s v="Other"/>
    <m/>
    <m/>
    <m/>
    <m/>
    <m/>
    <m/>
    <m/>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13"/>
    <x v="263"/>
    <x v="2"/>
    <s v="Varonis"/>
    <m/>
    <s v="Enterprise"/>
    <m/>
    <s v="Yes"/>
    <m/>
    <s v="On Premises (Client/Server)"/>
    <m/>
    <s v="No"/>
    <m/>
    <m/>
    <m/>
    <s v="No"/>
    <m/>
    <s v="Trevor Very"/>
    <d v="2021-12-15T00:00:00"/>
    <s v="Dec 15, 2021 via Trevor Very"/>
    <d v="2021-12-15T00:00:00"/>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14"/>
    <x v="264"/>
    <x v="2"/>
    <s v="Veeva"/>
    <m/>
    <m/>
    <s v="Plainsboro"/>
    <m/>
    <s v="Other"/>
    <s v="Saas"/>
    <m/>
    <m/>
    <m/>
    <m/>
    <m/>
    <s v="Yes"/>
    <n v="4"/>
    <m/>
    <m/>
    <m/>
    <m/>
    <s v="Veeva platforms used by Clinical Affair. Some additional modules were deployed: CDMS (Clinical Data Management) and RTSM (Randomization and Trial Supply Management)"/>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515"/>
    <x v="6"/>
    <x v="1"/>
    <m/>
    <m/>
    <m/>
    <s v="Saint Paul"/>
    <m/>
    <m/>
    <s v="Desktop"/>
    <m/>
    <m/>
    <m/>
    <m/>
    <m/>
    <m/>
    <m/>
    <m/>
    <m/>
    <m/>
    <m/>
    <m/>
    <m/>
    <x v="0"/>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516"/>
    <x v="265"/>
    <x v="2"/>
    <s v="Viva"/>
    <m/>
    <m/>
    <s v="Corporate &amp; division"/>
    <m/>
    <s v="Other"/>
    <s v="Cloud"/>
    <m/>
    <s v="Yes"/>
    <m/>
    <m/>
    <s v="T2?"/>
    <s v="In Progress"/>
    <m/>
    <s v="John O'Callaghan"/>
    <d v="2022-04-07T00:00:00"/>
    <s v="April 7, 2022 via John O'Callaghan"/>
    <d v="2022-04-07T00:00:00"/>
    <m/>
    <m/>
    <x v="0"/>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517"/>
    <x v="6"/>
    <x v="1"/>
    <s v="Teklynx"/>
    <m/>
    <m/>
    <s v="St. Aubin"/>
    <m/>
    <m/>
    <s v="Desktop"/>
    <m/>
    <m/>
    <m/>
    <m/>
    <m/>
    <m/>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18"/>
    <x v="29"/>
    <x v="1"/>
    <s v="VMWare"/>
    <m/>
    <m/>
    <s v="Puerto Rico"/>
    <s v="Yes"/>
    <m/>
    <s v="On Premises (Client/Server)"/>
    <m/>
    <m/>
    <m/>
    <m/>
    <m/>
    <s v="Yes"/>
    <n v="3"/>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19"/>
    <x v="266"/>
    <x v="1"/>
    <s v="SalesForce"/>
    <m/>
    <s v="Enterprise"/>
    <m/>
    <m/>
    <s v="Other"/>
    <s v="Saas"/>
    <m/>
    <m/>
    <m/>
    <m/>
    <m/>
    <s v="No"/>
    <m/>
    <m/>
    <m/>
    <m/>
    <m/>
    <m/>
    <m/>
    <x v="0"/>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520"/>
    <x v="29"/>
    <x v="1"/>
    <s v="Water"/>
    <m/>
    <m/>
    <s v="Puerto Rico"/>
    <s v="Yes"/>
    <m/>
    <m/>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21"/>
    <x v="267"/>
    <x v="1"/>
    <m/>
    <m/>
    <m/>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21"/>
    <x v="268"/>
    <x v="1"/>
    <m/>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22"/>
    <x v="269"/>
    <x v="1"/>
    <s v="Web? Workiva?"/>
    <m/>
    <m/>
    <s v="Plainsboro Corp"/>
    <m/>
    <s v="Other"/>
    <s v="Saas"/>
    <m/>
    <m/>
    <m/>
    <m/>
    <m/>
    <s v="No"/>
    <m/>
    <m/>
    <m/>
    <m/>
    <m/>
    <m/>
    <m/>
    <x v="0"/>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23"/>
    <x v="236"/>
    <x v="2"/>
    <s v="WinCNC"/>
    <m/>
    <m/>
    <s v="Cincinnati"/>
    <s v="Yes"/>
    <m/>
    <s v="Desktop"/>
    <m/>
    <m/>
    <m/>
    <m/>
    <m/>
    <s v="N"/>
    <m/>
    <s v="Michael Patterson"/>
    <d v="2021-11-16T00:00:00"/>
    <s v="Nov 16, 2021 via Michael Patterson- check Status"/>
    <d v="2021-11-16T00:00:00"/>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24"/>
    <x v="6"/>
    <x v="1"/>
    <s v="PTC"/>
    <m/>
    <m/>
    <s v="Tullamore, Billerica, Austin"/>
    <s v="Yes"/>
    <m/>
    <s v="On Premises (Client/Server)"/>
    <m/>
    <m/>
    <m/>
    <m/>
    <m/>
    <s v="NA"/>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525"/>
    <x v="6"/>
    <x v="1"/>
    <m/>
    <m/>
    <m/>
    <m/>
    <s v="Yes"/>
    <m/>
    <s v="On Premises (Client/Server)"/>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25"/>
    <x v="60"/>
    <x v="1"/>
    <m/>
    <m/>
    <s v="Enterprise"/>
    <m/>
    <s v="Yes"/>
    <m/>
    <m/>
    <m/>
    <m/>
    <m/>
    <m/>
    <m/>
    <s v="No"/>
    <m/>
    <m/>
    <m/>
    <s v="server?"/>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26"/>
    <x v="270"/>
    <x v="1"/>
    <s v="Windsx"/>
    <m/>
    <m/>
    <s v="All Plainsboro"/>
    <s v="Yes"/>
    <m/>
    <s v="On Premises (Client/Server)"/>
    <m/>
    <m/>
    <m/>
    <m/>
    <m/>
    <s v="N"/>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27"/>
    <x v="271"/>
    <x v="1"/>
    <m/>
    <m/>
    <m/>
    <s v="Corporate"/>
    <s v="Yes"/>
    <m/>
    <s v="On Premises (Client/Server)"/>
    <m/>
    <m/>
    <m/>
    <m/>
    <m/>
    <s v="No"/>
    <m/>
    <m/>
    <m/>
    <m/>
    <m/>
    <m/>
    <m/>
    <x v="0"/>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28"/>
    <x v="6"/>
    <x v="1"/>
    <s v="Winuv"/>
    <m/>
    <m/>
    <s v="Plainsboro 105"/>
    <m/>
    <m/>
    <m/>
    <m/>
    <m/>
    <m/>
    <m/>
    <m/>
    <s v="N"/>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529"/>
    <x v="272"/>
    <x v="1"/>
    <s v="AVENA (fka Wonderware)"/>
    <m/>
    <m/>
    <m/>
    <m/>
    <s v="Other"/>
    <m/>
    <m/>
    <m/>
    <m/>
    <m/>
    <m/>
    <m/>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30"/>
    <x v="6"/>
    <x v="1"/>
    <s v="Interboro"/>
    <m/>
    <m/>
    <s v="Puerto Rico"/>
    <s v="Yes"/>
    <m/>
    <s v="On Premises (Client/Server)"/>
    <m/>
    <m/>
    <m/>
    <m/>
    <m/>
    <s v="N"/>
    <m/>
    <m/>
    <m/>
    <m/>
    <m/>
    <m/>
    <m/>
    <x v="0"/>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531"/>
    <x v="255"/>
    <x v="1"/>
    <s v="WorkZone"/>
    <m/>
    <m/>
    <m/>
    <m/>
    <s v="Other"/>
    <m/>
    <m/>
    <m/>
    <m/>
    <m/>
    <m/>
    <m/>
    <m/>
    <m/>
    <m/>
    <m/>
    <m/>
    <m/>
    <m/>
    <x v="0"/>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32"/>
    <x v="273"/>
    <x v="1"/>
    <s v="Wyatt Communications"/>
    <m/>
    <m/>
    <m/>
    <m/>
    <m/>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33"/>
    <x v="274"/>
    <x v="1"/>
    <s v="XJ Technologies"/>
    <m/>
    <m/>
    <s v="Plainsboro Corp"/>
    <m/>
    <m/>
    <s v="Local"/>
    <m/>
    <m/>
    <m/>
    <m/>
    <m/>
    <s v="Y"/>
    <m/>
    <m/>
    <m/>
    <m/>
    <m/>
    <m/>
    <m/>
    <x v="0"/>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534"/>
    <x v="275"/>
    <x v="1"/>
    <s v="Yokogawa"/>
    <m/>
    <m/>
    <s v="Puerto Rico"/>
    <m/>
    <m/>
    <s v="Desktop"/>
    <m/>
    <m/>
    <m/>
    <m/>
    <m/>
    <s v="Y"/>
    <m/>
    <m/>
    <m/>
    <m/>
    <m/>
    <m/>
    <m/>
    <x v="0"/>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535"/>
    <x v="276"/>
    <x v="1"/>
    <s v="OpenText"/>
    <m/>
    <m/>
    <m/>
    <m/>
    <s v="Other"/>
    <m/>
    <m/>
    <m/>
    <m/>
    <m/>
    <m/>
    <m/>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36"/>
    <x v="6"/>
    <x v="1"/>
    <m/>
    <m/>
    <m/>
    <m/>
    <s v="Yes"/>
    <m/>
    <m/>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37"/>
    <x v="277"/>
    <x v="1"/>
    <s v="Malvern"/>
    <m/>
    <m/>
    <s v="Plainsboro Corp"/>
    <m/>
    <m/>
    <s v="Desktop"/>
    <m/>
    <m/>
    <m/>
    <m/>
    <m/>
    <s v="Y"/>
    <m/>
    <m/>
    <m/>
    <m/>
    <m/>
    <m/>
    <m/>
    <x v="0"/>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538"/>
    <x v="278"/>
    <x v="19"/>
    <s v="Zoom"/>
    <m/>
    <s v="Enterprise"/>
    <m/>
    <m/>
    <s v="Other"/>
    <s v="Saas"/>
    <m/>
    <m/>
    <m/>
    <m/>
    <m/>
    <s v="No"/>
    <m/>
    <m/>
    <m/>
    <m/>
    <m/>
    <m/>
    <m/>
    <x v="0"/>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39"/>
    <x v="279"/>
    <x v="4"/>
    <s v="AGILOFT"/>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40"/>
    <x v="280"/>
    <x v="4"/>
    <s v="APPZEN INC"/>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41"/>
    <x v="281"/>
    <x v="4"/>
    <s v="ATMOSPHERE APPS INC"/>
    <m/>
    <m/>
    <m/>
    <m/>
    <s v="SaaS (Cloud)"/>
    <m/>
    <m/>
    <m/>
    <m/>
    <m/>
    <m/>
    <s v="No"/>
    <m/>
    <m/>
    <m/>
    <m/>
    <m/>
    <m/>
    <m/>
    <x v="1"/>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42"/>
    <x v="282"/>
    <x v="4"/>
    <s v="AUDITBOARD INC"/>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43"/>
    <x v="283"/>
    <x v="4"/>
    <s v="AXONIFY INC"/>
    <m/>
    <m/>
    <m/>
    <m/>
    <s v="SaaS (Cloud)"/>
    <m/>
    <m/>
    <m/>
    <m/>
    <m/>
    <m/>
    <s v="No"/>
    <m/>
    <m/>
    <m/>
    <m/>
    <m/>
    <m/>
    <m/>
    <x v="1"/>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544"/>
    <x v="284"/>
    <x v="4"/>
    <s v="BLACKLINE SYSTEMS INC"/>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45"/>
    <x v="285"/>
    <x v="4"/>
    <s v="BONTERRA TECH LLC"/>
    <m/>
    <m/>
    <m/>
    <m/>
    <s v="SaaS (Cloud)"/>
    <m/>
    <m/>
    <m/>
    <m/>
    <m/>
    <m/>
    <s v="No"/>
    <m/>
    <m/>
    <m/>
    <m/>
    <m/>
    <m/>
    <m/>
    <x v="1"/>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546"/>
    <x v="286"/>
    <x v="4"/>
    <s v="CERTARA USA INC"/>
    <m/>
    <m/>
    <m/>
    <m/>
    <s v="SaaS (Cloud)"/>
    <m/>
    <m/>
    <m/>
    <m/>
    <m/>
    <m/>
    <s v="No"/>
    <m/>
    <m/>
    <m/>
    <m/>
    <m/>
    <m/>
    <m/>
    <x v="1"/>
    <x v="17"/>
    <s v="Discovery, Development and PreClinical covers vendors and offerings primarily focused on Discovery, Drug, Analysis, and Computational. Common associated descriptions include: AI-driven antibody selection and reagent platform; Chemical informatics software for drug discovery and research; Computational chemistry software for drug discovery and materials research; Computational immunology and vaccine design services; Drug discovery software for compound design and data analysis; and 14 additional related offerings."/>
  </r>
  <r>
    <x v="547"/>
    <x v="287"/>
    <x v="4"/>
    <s v="ClinCapture"/>
    <m/>
    <m/>
    <m/>
    <m/>
    <s v="SaaS (Cloud)"/>
    <m/>
    <m/>
    <m/>
    <m/>
    <m/>
    <m/>
    <s v="Yes"/>
    <m/>
    <m/>
    <m/>
    <m/>
    <m/>
    <m/>
    <m/>
    <x v="1"/>
    <x v="15"/>
    <s v="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
  </r>
  <r>
    <x v="548"/>
    <x v="288"/>
    <x v="4"/>
    <s v="Concur"/>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49"/>
    <x v="289"/>
    <x v="4"/>
    <s v="CULTURE AMP INC"/>
    <m/>
    <m/>
    <m/>
    <m/>
    <s v="SaaS (Cloud)"/>
    <m/>
    <m/>
    <m/>
    <m/>
    <m/>
    <m/>
    <s v="No"/>
    <m/>
    <m/>
    <m/>
    <m/>
    <m/>
    <m/>
    <m/>
    <x v="1"/>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121"/>
    <x v="290"/>
    <x v="4"/>
    <s v="DILIGENT CORP"/>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50"/>
    <x v="291"/>
    <x v="4"/>
    <s v="DocuSign"/>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51"/>
    <x v="292"/>
    <x v="4"/>
    <s v="FACTSET RESEARCH SYS INC"/>
    <m/>
    <m/>
    <m/>
    <m/>
    <s v="SaaS (Cloud)"/>
    <m/>
    <m/>
    <m/>
    <m/>
    <m/>
    <m/>
    <s v="No"/>
    <m/>
    <m/>
    <m/>
    <m/>
    <m/>
    <m/>
    <m/>
    <x v="1"/>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552"/>
    <x v="293"/>
    <x v="4"/>
    <s v="FASTPATH SOLUTIONS LLC"/>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167"/>
    <x v="294"/>
    <x v="4"/>
    <s v="FIVE9 INC"/>
    <m/>
    <m/>
    <m/>
    <m/>
    <s v="SaaS (Cloud)"/>
    <m/>
    <m/>
    <m/>
    <m/>
    <m/>
    <m/>
    <s v="No"/>
    <m/>
    <m/>
    <m/>
    <m/>
    <m/>
    <m/>
    <m/>
    <x v="1"/>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553"/>
    <x v="295"/>
    <x v="4"/>
    <s v="FOXPLAN SAS"/>
    <m/>
    <m/>
    <m/>
    <m/>
    <s v="SaaS (Cloud)"/>
    <m/>
    <m/>
    <m/>
    <m/>
    <m/>
    <m/>
    <s v="No"/>
    <m/>
    <m/>
    <m/>
    <m/>
    <m/>
    <m/>
    <m/>
    <x v="1"/>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54"/>
    <x v="296"/>
    <x v="4"/>
    <s v="Genpact"/>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55"/>
    <x v="297"/>
    <x v="4"/>
    <s v="GENSIGHT GROUP, THE"/>
    <m/>
    <m/>
    <m/>
    <m/>
    <s v="SaaS (Cloud)"/>
    <m/>
    <m/>
    <m/>
    <m/>
    <m/>
    <m/>
    <s v="No"/>
    <m/>
    <m/>
    <m/>
    <m/>
    <m/>
    <m/>
    <m/>
    <x v="1"/>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56"/>
    <x v="298"/>
    <x v="4"/>
    <s v="GHX GLOBAL HEALTHCARE EXCHANGE"/>
    <m/>
    <m/>
    <m/>
    <m/>
    <s v="SaaS (Cloud)"/>
    <m/>
    <m/>
    <m/>
    <m/>
    <m/>
    <m/>
    <s v="No"/>
    <m/>
    <m/>
    <m/>
    <m/>
    <m/>
    <m/>
    <m/>
    <x v="1"/>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557"/>
    <x v="299"/>
    <x v="4"/>
    <s v="HAWK RIDGE SYSTEMS LLC"/>
    <m/>
    <m/>
    <m/>
    <s v="Yes"/>
    <m/>
    <s v="Client Software"/>
    <m/>
    <m/>
    <m/>
    <m/>
    <m/>
    <s v="No"/>
    <m/>
    <m/>
    <m/>
    <m/>
    <m/>
    <m/>
    <m/>
    <x v="1"/>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558"/>
    <x v="300"/>
    <x v="4"/>
    <s v="HUBSPOT"/>
    <m/>
    <m/>
    <m/>
    <m/>
    <s v="SaaS (Cloud)"/>
    <m/>
    <m/>
    <m/>
    <m/>
    <m/>
    <m/>
    <s v="No"/>
    <m/>
    <m/>
    <m/>
    <m/>
    <m/>
    <m/>
    <m/>
    <x v="1"/>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206"/>
    <x v="301"/>
    <x v="4"/>
    <s v="ICOACH"/>
    <m/>
    <m/>
    <m/>
    <m/>
    <s v="SaaS (Cloud)"/>
    <m/>
    <m/>
    <m/>
    <m/>
    <m/>
    <m/>
    <s v="No"/>
    <m/>
    <m/>
    <m/>
    <m/>
    <m/>
    <m/>
    <m/>
    <x v="1"/>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559"/>
    <x v="302"/>
    <x v="4"/>
    <s v="IMS TECHNOLOGY SERVICES INC"/>
    <m/>
    <m/>
    <m/>
    <s v="Yes"/>
    <m/>
    <s v="Client Software"/>
    <m/>
    <m/>
    <m/>
    <m/>
    <m/>
    <s v="No"/>
    <m/>
    <m/>
    <m/>
    <m/>
    <m/>
    <m/>
    <m/>
    <x v="1"/>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560"/>
    <x v="303"/>
    <x v="4"/>
    <s v="IQVIA INC"/>
    <m/>
    <m/>
    <m/>
    <m/>
    <s v="SaaS (Cloud)"/>
    <m/>
    <m/>
    <m/>
    <m/>
    <m/>
    <m/>
    <s v="Yes"/>
    <m/>
    <m/>
    <m/>
    <m/>
    <m/>
    <m/>
    <m/>
    <x v="1"/>
    <x v="15"/>
    <s v="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
  </r>
  <r>
    <x v="561"/>
    <x v="304"/>
    <x v="4"/>
    <s v="JUSTRANSFORM DOT COM LLC"/>
    <m/>
    <m/>
    <m/>
    <m/>
    <s v="SaaS (Cloud)"/>
    <m/>
    <m/>
    <m/>
    <m/>
    <m/>
    <m/>
    <s v="No"/>
    <m/>
    <m/>
    <m/>
    <m/>
    <m/>
    <m/>
    <m/>
    <x v="1"/>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562"/>
    <x v="305"/>
    <x v="4"/>
    <s v="LRN, THE LEGAL KNOWLEDGE COMPANY"/>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275"/>
    <x v="306"/>
    <x v="4"/>
    <s v="MASTERCONTROL"/>
    <m/>
    <m/>
    <m/>
    <m/>
    <s v="SaaS (Cloud)"/>
    <m/>
    <m/>
    <m/>
    <m/>
    <m/>
    <m/>
    <s v="Yes"/>
    <m/>
    <m/>
    <m/>
    <m/>
    <m/>
    <m/>
    <m/>
    <x v="1"/>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150"/>
    <x v="307"/>
    <x v="4"/>
    <s v="NAVEX GLOBAL INC"/>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63"/>
    <x v="308"/>
    <x v="4"/>
    <s v="NYQUISTAI"/>
    <m/>
    <m/>
    <m/>
    <m/>
    <s v="SaaS (Cloud)"/>
    <m/>
    <m/>
    <m/>
    <m/>
    <m/>
    <m/>
    <s v="No"/>
    <m/>
    <m/>
    <m/>
    <m/>
    <m/>
    <m/>
    <m/>
    <x v="1"/>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564"/>
    <x v="309"/>
    <x v="4"/>
    <s v="OBERON TECHNOLOGIES INC"/>
    <m/>
    <m/>
    <m/>
    <m/>
    <s v="SaaS (Cloud)"/>
    <m/>
    <m/>
    <m/>
    <m/>
    <m/>
    <m/>
    <s v="No"/>
    <m/>
    <m/>
    <m/>
    <m/>
    <m/>
    <m/>
    <m/>
    <x v="1"/>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565"/>
    <x v="310"/>
    <x v="4"/>
    <s v="ONESTREAM SOFTWARE LLC"/>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66"/>
    <x v="311"/>
    <x v="4"/>
    <s v="PORZIO LIFE SCIENCES LLC"/>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67"/>
    <x v="312"/>
    <x v="4"/>
    <s v="SAS INSTITUTE INC"/>
    <m/>
    <m/>
    <m/>
    <m/>
    <s v="SaaS (Cloud)"/>
    <m/>
    <m/>
    <m/>
    <m/>
    <m/>
    <m/>
    <s v="No"/>
    <m/>
    <m/>
    <m/>
    <m/>
    <m/>
    <m/>
    <m/>
    <x v="1"/>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568"/>
    <x v="313"/>
    <x v="4"/>
    <s v="SMARTSHEET INC"/>
    <m/>
    <m/>
    <m/>
    <m/>
    <s v="SaaS (Cloud)"/>
    <m/>
    <m/>
    <m/>
    <m/>
    <m/>
    <m/>
    <s v="No"/>
    <m/>
    <m/>
    <m/>
    <m/>
    <m/>
    <m/>
    <m/>
    <x v="1"/>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69"/>
    <x v="314"/>
    <x v="4"/>
    <s v="SPHERA SOLUTIONS"/>
    <m/>
    <m/>
    <m/>
    <m/>
    <s v="SaaS (Cloud)"/>
    <m/>
    <m/>
    <m/>
    <m/>
    <m/>
    <m/>
    <s v="No"/>
    <m/>
    <m/>
    <m/>
    <m/>
    <m/>
    <m/>
    <m/>
    <x v="1"/>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70"/>
    <x v="315"/>
    <x v="4"/>
    <s v="SYNDIO SOLUTIONS INC"/>
    <m/>
    <m/>
    <m/>
    <m/>
    <s v="SaaS (Cloud)"/>
    <m/>
    <m/>
    <m/>
    <m/>
    <m/>
    <m/>
    <s v="No"/>
    <m/>
    <m/>
    <m/>
    <m/>
    <m/>
    <m/>
    <m/>
    <x v="1"/>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571"/>
    <x v="316"/>
    <x v="4"/>
    <s v="THOMSON REUTERS (TAX AND ACCOUNTING) INC"/>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72"/>
    <x v="317"/>
    <x v="4"/>
    <s v="TIKAMOBILE INC"/>
    <m/>
    <m/>
    <m/>
    <m/>
    <s v="SaaS (Cloud)"/>
    <m/>
    <m/>
    <m/>
    <m/>
    <m/>
    <m/>
    <s v="No"/>
    <m/>
    <m/>
    <m/>
    <m/>
    <m/>
    <m/>
    <m/>
    <x v="1"/>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73"/>
    <x v="318"/>
    <x v="4"/>
    <s v="UDEMY INC"/>
    <m/>
    <m/>
    <m/>
    <m/>
    <s v="SaaS (Cloud)"/>
    <m/>
    <m/>
    <m/>
    <m/>
    <m/>
    <m/>
    <s v="No"/>
    <m/>
    <m/>
    <m/>
    <m/>
    <m/>
    <m/>
    <m/>
    <x v="1"/>
    <x v="4"/>
    <s v="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
  </r>
  <r>
    <x v="574"/>
    <x v="319"/>
    <x v="4"/>
    <s v="WORKIVA INC"/>
    <m/>
    <m/>
    <m/>
    <m/>
    <s v="SaaS (Cloud)"/>
    <m/>
    <m/>
    <m/>
    <m/>
    <m/>
    <m/>
    <s v="No"/>
    <m/>
    <m/>
    <m/>
    <m/>
    <m/>
    <m/>
    <m/>
    <x v="1"/>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75"/>
    <x v="6"/>
    <x v="4"/>
    <s v="COMPASS"/>
    <m/>
    <m/>
    <m/>
    <m/>
    <m/>
    <m/>
    <m/>
    <m/>
    <m/>
    <m/>
    <m/>
    <m/>
    <m/>
    <m/>
    <m/>
    <m/>
    <m/>
    <m/>
    <m/>
    <x v="1"/>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439"/>
    <x v="320"/>
    <x v="4"/>
    <s v="AIRSLATE INC"/>
    <m/>
    <m/>
    <m/>
    <m/>
    <s v="SaaS (Cloud)"/>
    <m/>
    <m/>
    <m/>
    <m/>
    <m/>
    <m/>
    <s v="Yes"/>
    <m/>
    <m/>
    <m/>
    <m/>
    <m/>
    <m/>
    <m/>
    <x v="2"/>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26"/>
    <x v="24"/>
    <x v="4"/>
    <s v="ALERTMEDIA"/>
    <m/>
    <m/>
    <m/>
    <m/>
    <s v="SaaS (Cloud)"/>
    <m/>
    <m/>
    <m/>
    <m/>
    <m/>
    <m/>
    <s v="No"/>
    <m/>
    <m/>
    <m/>
    <m/>
    <m/>
    <m/>
    <m/>
    <x v="2"/>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76"/>
    <x v="321"/>
    <x v="4"/>
    <s v="ASPOSE PTY LTD"/>
    <m/>
    <m/>
    <m/>
    <s v="Yes"/>
    <m/>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77"/>
    <x v="322"/>
    <x v="4"/>
    <s v="Auraplayer"/>
    <m/>
    <m/>
    <m/>
    <m/>
    <s v="SaaS (Cloud)"/>
    <m/>
    <m/>
    <m/>
    <m/>
    <m/>
    <m/>
    <s v="No"/>
    <m/>
    <m/>
    <m/>
    <m/>
    <m/>
    <m/>
    <m/>
    <x v="2"/>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78"/>
    <x v="322"/>
    <x v="4"/>
    <s v="AUTOMATION ANYWHERE INC"/>
    <m/>
    <m/>
    <m/>
    <m/>
    <s v="SaaS (Cloud)"/>
    <m/>
    <m/>
    <m/>
    <m/>
    <m/>
    <m/>
    <s v="No"/>
    <m/>
    <m/>
    <m/>
    <m/>
    <m/>
    <m/>
    <m/>
    <x v="2"/>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79"/>
    <x v="323"/>
    <x v="4"/>
    <s v="BLUE MONTAIN"/>
    <m/>
    <m/>
    <m/>
    <m/>
    <s v="SaaS (Cloud)"/>
    <m/>
    <m/>
    <m/>
    <m/>
    <m/>
    <m/>
    <s v="Yes"/>
    <m/>
    <m/>
    <m/>
    <m/>
    <m/>
    <m/>
    <m/>
    <x v="2"/>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311"/>
    <x v="324"/>
    <x v="4"/>
    <s v="BMI SYSTEM / UBAQ"/>
    <m/>
    <m/>
    <m/>
    <m/>
    <s v="SaaS (Cloud)"/>
    <m/>
    <m/>
    <m/>
    <m/>
    <m/>
    <m/>
    <s v="No"/>
    <m/>
    <m/>
    <m/>
    <m/>
    <m/>
    <m/>
    <m/>
    <x v="2"/>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580"/>
    <x v="325"/>
    <x v="4"/>
    <s v="CALLTOWER INC"/>
    <m/>
    <m/>
    <m/>
    <m/>
    <s v="SaaS (Cloud)"/>
    <m/>
    <m/>
    <m/>
    <m/>
    <m/>
    <m/>
    <s v="Yes"/>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81"/>
    <x v="326"/>
    <x v="4"/>
    <s v="Alteryx"/>
    <m/>
    <m/>
    <m/>
    <m/>
    <s v="SaaS (Cloud)"/>
    <m/>
    <m/>
    <m/>
    <m/>
    <m/>
    <m/>
    <s v="No"/>
    <m/>
    <m/>
    <m/>
    <m/>
    <m/>
    <m/>
    <m/>
    <x v="2"/>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582"/>
    <x v="327"/>
    <x v="4"/>
    <s v="Palo Alto Networks"/>
    <m/>
    <m/>
    <m/>
    <s v="Yes"/>
    <m/>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91"/>
    <x v="328"/>
    <x v="4"/>
    <s v="Thycotic"/>
    <m/>
    <m/>
    <m/>
    <m/>
    <s v="SaaS (Cloud)"/>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249"/>
    <x v="142"/>
    <x v="4"/>
    <s v="CLEVERBRIDGE"/>
    <m/>
    <m/>
    <m/>
    <s v="Yes"/>
    <m/>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83"/>
    <x v="329"/>
    <x v="4"/>
    <s v="COPADO INC"/>
    <m/>
    <m/>
    <m/>
    <m/>
    <s v="SaaS (Cloud)"/>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84"/>
    <x v="330"/>
    <x v="4"/>
    <s v="ETQ"/>
    <m/>
    <m/>
    <m/>
    <m/>
    <s v="SaaS (Cloud)"/>
    <m/>
    <m/>
    <m/>
    <m/>
    <m/>
    <m/>
    <s v="Yes"/>
    <m/>
    <m/>
    <m/>
    <m/>
    <m/>
    <m/>
    <m/>
    <x v="2"/>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66"/>
    <x v="56"/>
    <x v="4"/>
    <s v="FLYCAST PARTNERS INC"/>
    <m/>
    <m/>
    <m/>
    <m/>
    <s v="SaaS (Cloud)"/>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85"/>
    <x v="331"/>
    <x v="4"/>
    <s v="JITTERBIT INC"/>
    <m/>
    <m/>
    <m/>
    <m/>
    <s v="SaaS (Cloud)"/>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86"/>
    <x v="332"/>
    <x v="4"/>
    <s v="MAREANA MARKETING LLC"/>
    <m/>
    <m/>
    <m/>
    <m/>
    <s v="SaaS (Cloud)"/>
    <m/>
    <m/>
    <m/>
    <m/>
    <m/>
    <m/>
    <s v="No"/>
    <m/>
    <m/>
    <m/>
    <m/>
    <m/>
    <m/>
    <m/>
    <x v="2"/>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587"/>
    <x v="199"/>
    <x v="4"/>
    <s v="MIRACLE SOFTWARE SYSTEMS INC"/>
    <m/>
    <m/>
    <m/>
    <m/>
    <s v="SaaS (Cloud)"/>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88"/>
    <x v="333"/>
    <x v="4"/>
    <s v="Miro"/>
    <m/>
    <m/>
    <m/>
    <m/>
    <s v="SaaS (Cloud)"/>
    <m/>
    <m/>
    <m/>
    <m/>
    <m/>
    <m/>
    <s v="No"/>
    <m/>
    <m/>
    <m/>
    <m/>
    <m/>
    <m/>
    <m/>
    <x v="2"/>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89"/>
    <x v="334"/>
    <x v="4"/>
    <s v="MODEL N INC"/>
    <m/>
    <m/>
    <m/>
    <m/>
    <s v="SaaS (Cloud)"/>
    <m/>
    <m/>
    <m/>
    <m/>
    <m/>
    <m/>
    <s v="No"/>
    <m/>
    <m/>
    <m/>
    <m/>
    <m/>
    <m/>
    <m/>
    <x v="2"/>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590"/>
    <x v="335"/>
    <x v="4"/>
    <s v="OnePlan"/>
    <m/>
    <m/>
    <m/>
    <m/>
    <s v="SaaS (Cloud)"/>
    <m/>
    <m/>
    <m/>
    <m/>
    <m/>
    <m/>
    <s v="No"/>
    <m/>
    <m/>
    <m/>
    <m/>
    <m/>
    <m/>
    <m/>
    <x v="2"/>
    <x v="13"/>
    <s v="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
  </r>
  <r>
    <x v="591"/>
    <x v="336"/>
    <x v="4"/>
    <s v="ONETRUST LLC"/>
    <m/>
    <m/>
    <m/>
    <m/>
    <s v="SaaS (Cloud)"/>
    <m/>
    <m/>
    <m/>
    <m/>
    <m/>
    <m/>
    <s v="No"/>
    <m/>
    <m/>
    <m/>
    <m/>
    <m/>
    <m/>
    <m/>
    <x v="2"/>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403"/>
    <x v="337"/>
    <x v="4"/>
    <s v="OPEN TEXT INC"/>
    <m/>
    <m/>
    <m/>
    <m/>
    <s v="SaaS (Cloud)"/>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592"/>
    <x v="338"/>
    <x v="4"/>
    <s v="PROFISEE GROUP INC"/>
    <m/>
    <m/>
    <m/>
    <m/>
    <s v="SaaS (Cloud)"/>
    <m/>
    <m/>
    <m/>
    <m/>
    <m/>
    <m/>
    <s v="Yes"/>
    <m/>
    <m/>
    <m/>
    <m/>
    <m/>
    <m/>
    <m/>
    <x v="2"/>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593"/>
    <x v="339"/>
    <x v="4"/>
    <s v="QAD INC"/>
    <m/>
    <m/>
    <m/>
    <m/>
    <m/>
    <m/>
    <m/>
    <m/>
    <m/>
    <m/>
    <m/>
    <s v="Yes"/>
    <m/>
    <m/>
    <m/>
    <m/>
    <m/>
    <m/>
    <m/>
    <x v="2"/>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94"/>
    <x v="340"/>
    <x v="4"/>
    <s v="SAGE ACCPAC INTERNATIONAL INC"/>
    <m/>
    <m/>
    <m/>
    <s v="Yes"/>
    <m/>
    <m/>
    <m/>
    <m/>
    <m/>
    <m/>
    <m/>
    <s v="No"/>
    <m/>
    <m/>
    <m/>
    <m/>
    <m/>
    <m/>
    <m/>
    <x v="2"/>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595"/>
    <x v="341"/>
    <x v="4"/>
    <s v="CrowdStrike"/>
    <m/>
    <m/>
    <m/>
    <m/>
    <s v="SaaS (Cloud)"/>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96"/>
    <x v="342"/>
    <x v="4"/>
    <s v="Proofpoint"/>
    <m/>
    <m/>
    <m/>
    <m/>
    <s v="SaaS (Cloud)"/>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97"/>
    <x v="343"/>
    <x v="4"/>
    <s v="Rapid7"/>
    <m/>
    <m/>
    <m/>
    <m/>
    <s v="SaaS (Cloud)"/>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598"/>
    <x v="344"/>
    <x v="4"/>
    <s v="Valimail"/>
    <m/>
    <m/>
    <m/>
    <m/>
    <s v="SaaS (Cloud)"/>
    <m/>
    <m/>
    <m/>
    <m/>
    <m/>
    <m/>
    <s v="No"/>
    <m/>
    <m/>
    <m/>
    <m/>
    <m/>
    <m/>
    <m/>
    <x v="2"/>
    <x v="12"/>
    <s v="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
  </r>
  <r>
    <x v="486"/>
    <x v="345"/>
    <x v="4"/>
    <s v="SIEMENS INDUSTRY SOFTWARE INC"/>
    <m/>
    <m/>
    <m/>
    <s v="Yes"/>
    <m/>
    <m/>
    <m/>
    <m/>
    <m/>
    <m/>
    <m/>
    <s v="Yes"/>
    <m/>
    <m/>
    <m/>
    <m/>
    <m/>
    <m/>
    <m/>
    <x v="2"/>
    <x v="7"/>
    <s v="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
  </r>
  <r>
    <x v="599"/>
    <x v="346"/>
    <x v="4"/>
    <s v="SOURCE CALLE LLC"/>
    <m/>
    <m/>
    <m/>
    <m/>
    <s v="SaaS (Cloud)"/>
    <m/>
    <m/>
    <m/>
    <m/>
    <m/>
    <m/>
    <s v="No"/>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0"/>
    <x v="347"/>
    <x v="4"/>
    <s v="Sparta Honeywell"/>
    <m/>
    <m/>
    <m/>
    <m/>
    <s v="SaaS (Cloud)"/>
    <m/>
    <m/>
    <m/>
    <m/>
    <m/>
    <m/>
    <s v="Yes"/>
    <m/>
    <m/>
    <m/>
    <m/>
    <m/>
    <m/>
    <m/>
    <x v="2"/>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601"/>
    <x v="6"/>
    <x v="4"/>
    <s v="SOA Suite"/>
    <m/>
    <m/>
    <m/>
    <m/>
    <m/>
    <m/>
    <m/>
    <m/>
    <m/>
    <m/>
    <m/>
    <m/>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2"/>
    <x v="6"/>
    <x v="4"/>
    <s v="Tidal Enterprise Scheduler"/>
    <m/>
    <m/>
    <m/>
    <m/>
    <m/>
    <m/>
    <m/>
    <m/>
    <m/>
    <m/>
    <m/>
    <m/>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3"/>
    <x v="6"/>
    <x v="4"/>
    <s v="Oracle Integration Cloud (OIC)"/>
    <m/>
    <m/>
    <m/>
    <m/>
    <m/>
    <m/>
    <m/>
    <m/>
    <m/>
    <m/>
    <m/>
    <m/>
    <m/>
    <m/>
    <m/>
    <m/>
    <m/>
    <m/>
    <m/>
    <x v="2"/>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4"/>
    <x v="348"/>
    <x v="4"/>
    <s v="SHI CORP"/>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5"/>
    <x v="349"/>
    <x v="4"/>
    <s v="VENDORMATE INC"/>
    <m/>
    <m/>
    <m/>
    <m/>
    <m/>
    <m/>
    <m/>
    <m/>
    <m/>
    <m/>
    <m/>
    <m/>
    <m/>
    <m/>
    <m/>
    <m/>
    <m/>
    <m/>
    <m/>
    <x v="3"/>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606"/>
    <x v="350"/>
    <x v="4"/>
    <s v="Wipro Limited"/>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7"/>
    <x v="351"/>
    <x v="4"/>
    <s v="INSIGHT MEDICAL CONSULTING"/>
    <m/>
    <m/>
    <m/>
    <m/>
    <m/>
    <m/>
    <m/>
    <m/>
    <m/>
    <m/>
    <m/>
    <m/>
    <m/>
    <m/>
    <m/>
    <m/>
    <m/>
    <m/>
    <m/>
    <x v="3"/>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608"/>
    <x v="352"/>
    <x v="4"/>
    <s v="SYSTEMATICS LTD"/>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09"/>
    <x v="353"/>
    <x v="4"/>
    <s v="CORITY SOFTWARE INC"/>
    <m/>
    <m/>
    <m/>
    <m/>
    <m/>
    <m/>
    <m/>
    <m/>
    <m/>
    <m/>
    <m/>
    <m/>
    <m/>
    <m/>
    <m/>
    <m/>
    <m/>
    <m/>
    <m/>
    <x v="3"/>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610"/>
    <x v="354"/>
    <x v="4"/>
    <s v="RYAN LLC"/>
    <m/>
    <m/>
    <m/>
    <m/>
    <m/>
    <m/>
    <m/>
    <m/>
    <m/>
    <m/>
    <m/>
    <m/>
    <m/>
    <m/>
    <m/>
    <m/>
    <m/>
    <m/>
    <m/>
    <x v="3"/>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611"/>
    <x v="355"/>
    <x v="4"/>
    <s v="PERSISTENT SYSTEMS LTD"/>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12"/>
    <x v="356"/>
    <x v="4"/>
    <s v="OT TECHNOLOGY INC"/>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13"/>
    <x v="357"/>
    <x v="4"/>
    <s v="COMPUTER INTEGRATION OF QUALITY ASSURANCE INC"/>
    <m/>
    <m/>
    <m/>
    <m/>
    <m/>
    <m/>
    <m/>
    <m/>
    <m/>
    <m/>
    <m/>
    <m/>
    <m/>
    <m/>
    <m/>
    <m/>
    <m/>
    <m/>
    <m/>
    <x v="3"/>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614"/>
    <x v="358"/>
    <x v="4"/>
    <s v="ACUITYMD INC"/>
    <m/>
    <m/>
    <m/>
    <m/>
    <m/>
    <m/>
    <m/>
    <m/>
    <m/>
    <m/>
    <m/>
    <m/>
    <m/>
    <m/>
    <m/>
    <m/>
    <m/>
    <m/>
    <m/>
    <x v="3"/>
    <x v="14"/>
    <s v="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
  </r>
  <r>
    <x v="615"/>
    <x v="359"/>
    <x v="4"/>
    <s v="US DATA MANAGEMENT LLC"/>
    <m/>
    <m/>
    <m/>
    <m/>
    <m/>
    <m/>
    <m/>
    <m/>
    <m/>
    <m/>
    <m/>
    <m/>
    <m/>
    <m/>
    <m/>
    <m/>
    <m/>
    <m/>
    <m/>
    <x v="3"/>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616"/>
    <x v="360"/>
    <x v="4"/>
    <s v="TEGRA ANALYTICS LLC"/>
    <m/>
    <m/>
    <m/>
    <m/>
    <m/>
    <m/>
    <m/>
    <m/>
    <m/>
    <m/>
    <m/>
    <m/>
    <m/>
    <m/>
    <m/>
    <m/>
    <m/>
    <m/>
    <m/>
    <x v="3"/>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617"/>
    <x v="361"/>
    <x v="4"/>
    <s v="3 H TECHNOLOGY INSTITUTE LLC"/>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18"/>
    <x v="362"/>
    <x v="4"/>
    <s v="ANYWARE E COMMERCE LTD"/>
    <m/>
    <m/>
    <m/>
    <m/>
    <m/>
    <m/>
    <m/>
    <m/>
    <m/>
    <m/>
    <m/>
    <m/>
    <m/>
    <m/>
    <m/>
    <m/>
    <m/>
    <m/>
    <m/>
    <x v="3"/>
    <x v="5"/>
    <s v="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
  </r>
  <r>
    <x v="619"/>
    <x v="363"/>
    <x v="4"/>
    <s v="NTT Data Enterprise"/>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20"/>
    <x v="364"/>
    <x v="4"/>
    <s v="GREENLIGHT GURU"/>
    <m/>
    <m/>
    <m/>
    <m/>
    <m/>
    <m/>
    <m/>
    <m/>
    <m/>
    <m/>
    <m/>
    <m/>
    <m/>
    <m/>
    <m/>
    <m/>
    <m/>
    <m/>
    <m/>
    <x v="3"/>
    <x v="9"/>
    <s v="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
  </r>
  <r>
    <x v="621"/>
    <x v="365"/>
    <x v="4"/>
    <s v="ASSOCIATION FOR ADVANCING TISSUE AND BIOLOGICS"/>
    <m/>
    <m/>
    <m/>
    <m/>
    <m/>
    <m/>
    <m/>
    <m/>
    <m/>
    <m/>
    <m/>
    <m/>
    <m/>
    <m/>
    <m/>
    <m/>
    <m/>
    <m/>
    <m/>
    <x v="3"/>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622"/>
    <x v="366"/>
    <x v="4"/>
    <s v="IRON MONTAIN"/>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23"/>
    <x v="367"/>
    <x v="4"/>
    <s v="OFFICESPACE SOFTWARE"/>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24"/>
    <x v="368"/>
    <x v="4"/>
    <s v="DEFMACRO SOFTWARE PRIVATE LTD"/>
    <m/>
    <m/>
    <m/>
    <m/>
    <m/>
    <m/>
    <m/>
    <m/>
    <m/>
    <m/>
    <m/>
    <m/>
    <m/>
    <m/>
    <m/>
    <m/>
    <m/>
    <m/>
    <m/>
    <x v="3"/>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625"/>
    <x v="369"/>
    <x v="4"/>
    <s v="CNC SOFTWARE LLC MASTERCAM"/>
    <m/>
    <m/>
    <m/>
    <m/>
    <m/>
    <m/>
    <m/>
    <m/>
    <m/>
    <m/>
    <m/>
    <m/>
    <m/>
    <m/>
    <m/>
    <m/>
    <m/>
    <m/>
    <m/>
    <x v="3"/>
    <x v="1"/>
    <s v="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
  </r>
  <r>
    <x v="626"/>
    <x v="370"/>
    <x v="4"/>
    <s v="MEDPRO SYSTEMS LLC"/>
    <m/>
    <m/>
    <m/>
    <m/>
    <m/>
    <m/>
    <m/>
    <m/>
    <m/>
    <m/>
    <m/>
    <m/>
    <m/>
    <m/>
    <m/>
    <m/>
    <m/>
    <m/>
    <m/>
    <x v="3"/>
    <x v="10"/>
    <s v="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
  </r>
  <r>
    <x v="627"/>
    <x v="371"/>
    <x v="4"/>
    <s v="FINIT SOLUTIONS"/>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28"/>
    <x v="372"/>
    <x v="4"/>
    <s v="TESISQUARE S P A"/>
    <m/>
    <m/>
    <m/>
    <m/>
    <m/>
    <m/>
    <m/>
    <m/>
    <m/>
    <m/>
    <m/>
    <m/>
    <m/>
    <m/>
    <m/>
    <m/>
    <m/>
    <m/>
    <m/>
    <x v="3"/>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629"/>
    <x v="373"/>
    <x v="4"/>
    <s v="HONEYCOMB SOLUTIONS"/>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30"/>
    <x v="374"/>
    <x v="4"/>
    <s v="VISIONICE GMBH"/>
    <m/>
    <m/>
    <m/>
    <m/>
    <m/>
    <m/>
    <m/>
    <m/>
    <m/>
    <m/>
    <m/>
    <m/>
    <m/>
    <m/>
    <m/>
    <m/>
    <m/>
    <m/>
    <m/>
    <x v="3"/>
    <x v="16"/>
    <s v="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
  </r>
  <r>
    <x v="631"/>
    <x v="375"/>
    <x v="4"/>
    <s v="上海夏焱电子科技有限公司"/>
    <m/>
    <m/>
    <m/>
    <m/>
    <m/>
    <m/>
    <m/>
    <m/>
    <m/>
    <m/>
    <m/>
    <m/>
    <m/>
    <m/>
    <m/>
    <m/>
    <m/>
    <m/>
    <m/>
    <x v="3"/>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632"/>
    <x v="376"/>
    <x v="4"/>
    <s v="HOHENFORST MACHINERY CO"/>
    <m/>
    <m/>
    <m/>
    <m/>
    <m/>
    <m/>
    <m/>
    <m/>
    <m/>
    <m/>
    <m/>
    <m/>
    <m/>
    <m/>
    <m/>
    <m/>
    <m/>
    <m/>
    <m/>
    <x v="3"/>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633"/>
    <x v="377"/>
    <x v="4"/>
    <s v="THT LTD"/>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34"/>
    <x v="378"/>
    <x v="4"/>
    <s v="富士ﾌｲﾙﾑﾋﾞｼﾞﾈｽｲﾉﾍﾞ-ｼｮﾝ株式会社"/>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35"/>
    <x v="379"/>
    <x v="4"/>
    <s v="NISHA PRO SOFTWARE CONSULTANTS LTD"/>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36"/>
    <x v="380"/>
    <x v="4"/>
    <s v="DUN AND BRADSTREET"/>
    <m/>
    <m/>
    <m/>
    <m/>
    <m/>
    <m/>
    <m/>
    <m/>
    <m/>
    <m/>
    <m/>
    <m/>
    <m/>
    <m/>
    <m/>
    <m/>
    <m/>
    <m/>
    <m/>
    <x v="3"/>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637"/>
    <x v="381"/>
    <x v="4"/>
    <s v="PARALLEL SYSTEMS LIMITED"/>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38"/>
    <x v="382"/>
    <x v="4"/>
    <s v="TRADE TECHNOLOGIES INC"/>
    <m/>
    <m/>
    <m/>
    <m/>
    <m/>
    <m/>
    <m/>
    <m/>
    <m/>
    <m/>
    <m/>
    <m/>
    <m/>
    <m/>
    <m/>
    <m/>
    <m/>
    <m/>
    <m/>
    <x v="3"/>
    <x v="6"/>
    <s v="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
  </r>
  <r>
    <x v="639"/>
    <x v="383"/>
    <x v="4"/>
    <s v="EUROPHARMATIC SAS"/>
    <m/>
    <m/>
    <m/>
    <m/>
    <m/>
    <m/>
    <m/>
    <m/>
    <m/>
    <m/>
    <m/>
    <m/>
    <m/>
    <m/>
    <m/>
    <m/>
    <m/>
    <m/>
    <m/>
    <x v="3"/>
    <x v="3"/>
    <s v="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
  </r>
  <r>
    <x v="640"/>
    <x v="384"/>
    <x v="4"/>
    <s v="RESEARCH APPLICATION AND FINANCIAL TRACKING INC"/>
    <m/>
    <m/>
    <m/>
    <m/>
    <m/>
    <m/>
    <m/>
    <m/>
    <m/>
    <m/>
    <m/>
    <m/>
    <m/>
    <m/>
    <m/>
    <m/>
    <m/>
    <m/>
    <m/>
    <x v="3"/>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641"/>
    <x v="385"/>
    <x v="4"/>
    <s v="上海联诺信息技术有限公司"/>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42"/>
    <x v="386"/>
    <x v="4"/>
    <s v="CSC CONSULTING INC"/>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43"/>
    <x v="387"/>
    <x v="4"/>
    <s v="GRAND VIEW RESEARCH INC"/>
    <m/>
    <m/>
    <m/>
    <m/>
    <m/>
    <m/>
    <m/>
    <m/>
    <m/>
    <m/>
    <m/>
    <m/>
    <m/>
    <m/>
    <m/>
    <m/>
    <m/>
    <m/>
    <m/>
    <x v="3"/>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644"/>
    <x v="388"/>
    <x v="4"/>
    <s v="PRICEWATERHOUSECOOPERS LTD"/>
    <m/>
    <m/>
    <m/>
    <m/>
    <m/>
    <m/>
    <m/>
    <m/>
    <m/>
    <m/>
    <m/>
    <m/>
    <m/>
    <m/>
    <m/>
    <m/>
    <m/>
    <m/>
    <m/>
    <x v="3"/>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645"/>
    <x v="389"/>
    <x v="4"/>
    <s v="DRAGER SCHWEIZ AG"/>
    <m/>
    <m/>
    <m/>
    <m/>
    <m/>
    <m/>
    <m/>
    <m/>
    <m/>
    <m/>
    <m/>
    <m/>
    <m/>
    <m/>
    <m/>
    <m/>
    <m/>
    <m/>
    <m/>
    <x v="3"/>
    <x v="8"/>
    <s v="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
  </r>
  <r>
    <x v="646"/>
    <x v="390"/>
    <x v="4"/>
    <s v="上海爱信诺航天信息有限公司"/>
    <m/>
    <m/>
    <m/>
    <m/>
    <m/>
    <m/>
    <m/>
    <m/>
    <m/>
    <m/>
    <m/>
    <m/>
    <m/>
    <m/>
    <m/>
    <m/>
    <m/>
    <m/>
    <m/>
    <x v="3"/>
    <x v="0"/>
    <s v="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
  </r>
  <r>
    <x v="647"/>
    <x v="391"/>
    <x v="4"/>
    <s v="EBSCO INFORMATION SERVICES"/>
    <m/>
    <m/>
    <m/>
    <m/>
    <m/>
    <m/>
    <m/>
    <m/>
    <m/>
    <m/>
    <m/>
    <m/>
    <m/>
    <m/>
    <m/>
    <m/>
    <m/>
    <m/>
    <m/>
    <x v="3"/>
    <x v="11"/>
    <s v="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
  </r>
  <r>
    <x v="648"/>
    <x v="392"/>
    <x v="4"/>
    <s v="BACILE SALVATORE"/>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49"/>
    <x v="393"/>
    <x v="4"/>
    <s v="M K INFOSOLUTIONS"/>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r>
    <x v="650"/>
    <x v="394"/>
    <x v="4"/>
    <s v="BUSINESS LOGICS GMBH"/>
    <m/>
    <m/>
    <m/>
    <m/>
    <m/>
    <m/>
    <m/>
    <m/>
    <m/>
    <m/>
    <m/>
    <m/>
    <m/>
    <m/>
    <m/>
    <m/>
    <m/>
    <m/>
    <m/>
    <x v="3"/>
    <x v="2"/>
    <s v="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0" dataOnRows="0" dataCaption="Values" showError="0" showMissing="1" updatedVersion="8" minRefreshableVersion="3" asteriskTotals="0" showItems="1" editData="0" disableFieldList="0" showCalcMbrs="1" visualTotals="1" showMultipleLabel="1" showDataDropDown="1" showDrill="0" printDrill="0" showMemberPropertyTips="1" showDataTips="0"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1" immersive="1" multipleFieldFilters="0" chartFormat="0" fieldListSortAscending="0" mdxSubqueries="0" applyNumberFormats="0" applyBorderFormats="0" applyFontFormats="0" applyPatternFormats="0" applyAlignmentFormats="0" applyWidthHeightFormats="1" r:id="rId1">
  <location ref="A3:E174" firstHeaderRow="2" firstDataRow="2" firstDataCol="4" rowPageCount="1" colPageCount="1"/>
  <pivotFields count="26">
    <pivotField axis="axisRow" dataField="1" showDropDowns="1" compact="0" outline="0" subtotalTop="1" dragToRow="1" dragToCol="1" dragToPage="1" dragToData="1" dragOff="1" showAll="0" topAutoShow="1" itemPageCount="10" sortType="manual" defaultSubtotal="0">
      <items count="651">
        <item t="data" sd="1" x="0"/>
        <item t="data" sd="1" x="1"/>
        <item t="data" sd="1" x="617"/>
        <item t="data" sd="1" x="2"/>
        <item t="data" sd="1" x="3"/>
        <item t="data" sd="1" x="4"/>
        <item t="data" sd="1" x="5"/>
        <item t="data" sd="1" x="6"/>
        <item t="data" sd="1" x="614"/>
        <item t="data" sd="1" x="7"/>
        <item t="data" sd="1" x="9"/>
        <item t="data" sd="1" x="10"/>
        <item t="data" sd="1" x="11"/>
        <item t="data" sd="1" x="8"/>
        <item t="data" sd="1" x="12"/>
        <item t="data" sd="1" x="13"/>
        <item t="data" sd="1" x="14"/>
        <item t="data" sd="1" x="15"/>
        <item t="data" sd="1" x="16"/>
        <item t="data" sd="1" x="17"/>
        <item t="data" sd="1" x="18"/>
        <item t="data" sd="1" x="19"/>
        <item t="data" sd="1" x="20"/>
        <item t="data" sd="1" x="22"/>
        <item t="data" sd="1" x="23"/>
        <item t="data" sd="1" x="21"/>
        <item t="data" sd="1" x="24"/>
        <item t="data" sd="1" x="539"/>
        <item t="data" sd="1" x="25"/>
        <item t="data" sd="1" x="26"/>
        <item t="data" sd="1" x="581"/>
        <item t="data" sd="1" x="27"/>
        <item t="data" sd="1" x="28"/>
        <item t="data" sd="1" x="618"/>
        <item t="data" sd="1" x="29"/>
        <item t="data" sd="1" x="540"/>
        <item t="data" sd="1" x="30"/>
        <item t="data" sd="1" x="31"/>
        <item t="data" sd="1" x="32"/>
        <item t="data" sd="1" x="33"/>
        <item t="data" sd="1" x="34"/>
        <item t="data" sd="1" x="576"/>
        <item t="data" sd="1" x="621"/>
        <item t="data" sd="1" x="35"/>
        <item t="data" sd="1" x="541"/>
        <item t="data" sd="1" x="542"/>
        <item t="data" sd="1" x="577"/>
        <item t="data" sd="1" x="36"/>
        <item t="data" sd="1" x="37"/>
        <item t="data" sd="1" x="38"/>
        <item t="data" sd="1" x="39"/>
        <item t="data" sd="1" x="578"/>
        <item t="data" sd="1" x="40"/>
        <item t="data" sd="1" x="41"/>
        <item t="data" sd="1" x="42"/>
        <item t="data" sd="1" x="43"/>
        <item t="data" sd="1" x="44"/>
        <item t="data" sd="1" x="543"/>
        <item t="data" sd="1" x="45"/>
        <item t="data" sd="1" x="648"/>
        <item t="data" sd="1" x="46"/>
        <item t="data" sd="1" x="47"/>
        <item t="data" sd="1" x="48"/>
        <item t="data" sd="1" x="49"/>
        <item t="data" sd="1" x="50"/>
        <item t="data" sd="1" x="51"/>
        <item t="data" sd="1" x="599"/>
        <item t="data" sd="1" x="52"/>
        <item t="data" sd="1" x="544"/>
        <item t="data" sd="1" x="579"/>
        <item t="data" sd="1" x="53"/>
        <item t="data" sd="1" x="54"/>
        <item t="data" sd="1" x="55"/>
        <item t="data" sd="1" x="56"/>
        <item t="data" sd="1" x="57"/>
        <item t="data" sd="1" x="650"/>
        <item t="data" sd="1" x="580"/>
        <item t="data" sd="1" x="58"/>
        <item t="data" sd="1" x="59"/>
        <item t="data" sd="1" x="60"/>
        <item t="data" sd="1" x="61"/>
        <item t="data" sd="1" x="62"/>
        <item t="data" sd="1" x="63"/>
        <item t="data" sd="1" x="546"/>
        <item t="data" sd="1" x="64"/>
        <item t="data" sd="1" x="65"/>
        <item t="data" sd="1" x="66"/>
        <item t="data" sd="1" x="67"/>
        <item t="data" sd="1" x="68"/>
        <item t="data" sd="1" x="69"/>
        <item t="data" sd="1" x="70"/>
        <item t="data" sd="1" x="71"/>
        <item t="data" sd="1" x="72"/>
        <item t="data" sd="1" x="73"/>
        <item t="data" sd="1" x="74"/>
        <item t="data" sd="1" x="547"/>
        <item t="data" sd="1" x="75"/>
        <item t="data" sd="1" x="76"/>
        <item t="data" sd="1" x="625"/>
        <item t="data" sd="1" x="77"/>
        <item t="data" sd="1" x="78"/>
        <item t="data" sd="1" x="79"/>
        <item t="data" sd="1" x="80"/>
        <item t="data" sd="1" x="81"/>
        <item t="data" sd="1" x="82"/>
        <item t="data" sd="1" x="83"/>
        <item t="data" sd="1" x="84"/>
        <item t="data" sd="1" x="85"/>
        <item t="data" sd="1" x="575"/>
        <item t="data" sd="1" x="86"/>
        <item t="data" sd="1" x="613"/>
        <item t="data" sd="1" x="87"/>
        <item t="data" sd="1" x="88"/>
        <item t="data" sd="1" x="89"/>
        <item t="data" sd="1" x="548"/>
        <item t="data" sd="1" x="90"/>
        <item t="data" sd="1" x="91"/>
        <item t="data" sd="1" x="92"/>
        <item t="data" sd="1" x="93"/>
        <item t="data" sd="1" x="583"/>
        <item t="data" sd="1" x="94"/>
        <item t="data" sd="1" x="95"/>
        <item t="data" sd="1" x="609"/>
        <item t="data" sd="1" x="96"/>
        <item t="data" sd="1" x="97"/>
        <item t="data" sd="1" x="98"/>
        <item t="data" sd="1" x="99"/>
        <item t="data" sd="1" x="100"/>
        <item t="data" sd="1" x="559"/>
        <item t="data" sd="1" x="101"/>
        <item t="data" sd="1" x="102"/>
        <item t="data" sd="1" x="642"/>
        <item t="data" sd="1" x="103"/>
        <item t="data" sd="1" x="549"/>
        <item t="data" sd="1" x="104"/>
        <item t="data" sd="1" x="105"/>
        <item t="data" sd="1" x="106"/>
        <item t="data" sd="1" x="107"/>
        <item t="data" sd="1" x="108"/>
        <item t="data" sd="1" x="545"/>
        <item t="data" sd="1" x="109"/>
        <item t="data" sd="1" x="110"/>
        <item t="data" sd="1" x="111"/>
        <item t="data" sd="1" x="112"/>
        <item t="data" sd="1" x="113"/>
        <item t="data" sd="1" x="114"/>
        <item t="data" sd="1" x="115"/>
        <item t="data" sd="1" x="624"/>
        <item t="data" sd="1" x="116"/>
        <item t="data" sd="1" x="117"/>
        <item t="data" sd="1" x="118"/>
        <item t="data" sd="1" x="119"/>
        <item t="data" sd="1" x="120"/>
        <item t="data" sd="1" x="121"/>
        <item t="data" sd="1" x="122"/>
        <item t="data" sd="1" x="123"/>
        <item t="data" sd="1" x="550"/>
        <item t="data" sd="1" x="124"/>
        <item t="data" sd="1" x="125"/>
        <item t="data" sd="1" x="645"/>
        <item t="data" sd="1" x="126"/>
        <item t="data" sd="1" x="127"/>
        <item t="data" sd="1" x="636"/>
        <item t="data" sd="1" x="128"/>
        <item t="data" sd="1" x="129"/>
        <item t="data" sd="1" x="130"/>
        <item t="data" sd="1" x="131"/>
        <item t="data" sd="1" x="132"/>
        <item t="data" sd="1" x="133"/>
        <item t="data" sd="1" x="647"/>
        <item t="data" sd="1" x="134"/>
        <item t="data" sd="1" x="135"/>
        <item t="data" sd="1" x="136"/>
        <item t="data" sd="1" x="137"/>
        <item t="data" sd="1" x="138"/>
        <item t="data" sd="1" x="139"/>
        <item t="data" sd="1" x="140"/>
        <item t="data" sd="1" x="141"/>
        <item t="data" sd="1" x="564"/>
        <item t="data" sd="1" x="142"/>
        <item t="data" sd="1" x="143"/>
        <item t="data" sd="1" x="144"/>
        <item t="data" sd="1" x="145"/>
        <item t="data" sd="1" x="146"/>
        <item t="data" sd="1" x="147"/>
        <item t="data" sd="1" x="148"/>
        <item t="data" sd="1" x="554"/>
        <item t="data" sd="1" x="149"/>
        <item t="data" sd="1" x="150"/>
        <item t="data" sd="1" x="584"/>
        <item t="data" sd="1" x="151"/>
        <item t="data" sd="1" x="152"/>
        <item t="data" sd="1" x="153"/>
        <item t="data" sd="1" x="639"/>
        <item t="data" sd="1" x="154"/>
        <item t="data" sd="1" x="155"/>
        <item t="data" sd="1" x="156"/>
        <item t="data" sd="1" x="157"/>
        <item t="data" sd="1" x="158"/>
        <item t="data" sd="1" x="159"/>
        <item t="data" sd="1" x="160"/>
        <item t="data" sd="1" x="595"/>
        <item t="data" sd="1" x="552"/>
        <item t="data" sd="1" x="161"/>
        <item t="data" sd="1" x="162"/>
        <item t="data" sd="1" x="163"/>
        <item t="data" sd="1" x="164"/>
        <item t="data" sd="1" x="165"/>
        <item t="data" sd="1" x="627"/>
        <item t="data" sd="1" x="166"/>
        <item t="data" sd="1" x="167"/>
        <item t="data" sd="1" x="168"/>
        <item t="data" sd="1" x="169"/>
        <item t="data" sd="1" x="170"/>
        <item t="data" sd="1" x="171"/>
        <item t="data" sd="1" x="553"/>
        <item t="data" sd="1" x="172"/>
        <item t="data" sd="1" x="173"/>
        <item t="data" sd="1" x="174"/>
        <item t="data" sd="1" x="175"/>
        <item t="data" sd="1" x="176"/>
        <item t="data" sd="1" x="177"/>
        <item t="data" sd="1" x="555"/>
        <item t="data" sd="1" x="556"/>
        <item t="data" sd="1" x="178"/>
        <item t="data" sd="1" x="179"/>
        <item t="data" sd="1" x="180"/>
        <item t="data" sd="1" x="181"/>
        <item t="data" sd="1" x="182"/>
        <item t="data" sd="1" x="183"/>
        <item t="data" sd="1" x="184"/>
        <item t="data" sd="1" x="185"/>
        <item t="data" sd="1" x="643"/>
        <item t="data" sd="1" x="560"/>
        <item t="data" sd="1" x="187"/>
        <item t="data" sd="1" x="186"/>
        <item t="data" sd="1" x="188"/>
        <item t="data" sd="1" x="620"/>
        <item t="data" sd="1" x="189"/>
        <item t="data" sd="1" x="190"/>
        <item t="data" sd="1" x="191"/>
        <item t="data" sd="1" x="632"/>
        <item t="data" sd="1" x="629"/>
        <item t="data" sd="1" x="192"/>
        <item t="data" sd="1" x="193"/>
        <item t="data" sd="1" x="558"/>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607"/>
        <item t="data" sd="1" x="216"/>
        <item t="data" sd="1" x="217"/>
        <item t="data" sd="1" x="218"/>
        <item t="data" sd="1" x="219"/>
        <item t="data" sd="1" x="220"/>
        <item t="data" sd="1" x="221"/>
        <item t="data" sd="1" x="222"/>
        <item t="data" sd="1" x="223"/>
        <item t="data" sd="1" x="224"/>
        <item t="data" sd="1" x="225"/>
        <item t="data" sd="1" x="226"/>
        <item t="data" sd="1" x="622"/>
        <item t="data" sd="1" x="227"/>
        <item t="data" sd="1" x="228"/>
        <item t="data" sd="1" x="229"/>
        <item t="data" sd="1" x="230"/>
        <item t="data" sd="1" x="231"/>
        <item t="data" sd="1" x="232"/>
        <item t="data" sd="1" x="585"/>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562"/>
        <item t="data" sd="1" x="265"/>
        <item t="data" sd="1" x="266"/>
        <item t="data" sd="1" x="267"/>
        <item t="data" sd="1" x="268"/>
        <item t="data" sd="1" x="269"/>
        <item t="data" sd="1" x="270"/>
        <item t="data" sd="1" x="649"/>
        <item t="data" sd="1" x="271"/>
        <item t="data" sd="1" x="272"/>
        <item t="data" sd="1" x="273"/>
        <item t="data" sd="1" x="274"/>
        <item t="data" sd="1" x="594"/>
        <item t="data" sd="1" x="275"/>
        <item t="data" sd="1" x="276"/>
        <item t="data" sd="1" x="277"/>
        <item t="data" sd="1" x="278"/>
        <item t="data" sd="1" x="279"/>
        <item t="data" sd="1" x="280"/>
        <item t="data" sd="1" x="281"/>
        <item t="data" sd="1" x="282"/>
        <item t="data" sd="1" x="626"/>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588"/>
        <item t="data" sd="1" x="589"/>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635"/>
        <item t="data" sd="1" x="619"/>
        <item t="data" sd="1" x="320"/>
        <item t="data" sd="1" x="563"/>
        <item t="data" sd="1" x="321"/>
        <item t="data" sd="1" x="322"/>
        <item t="data" sd="1" x="323"/>
        <item t="data" sd="1" x="324"/>
        <item t="data" sd="1" x="623"/>
        <item t="data" sd="1" x="325"/>
        <item t="data" sd="1" x="326"/>
        <item t="data" sd="1" x="590"/>
        <item t="data" sd="1" x="571"/>
        <item t="data" sd="1" x="565"/>
        <item t="data" sd="1" x="591"/>
        <item t="data" sd="1" x="327"/>
        <item t="data" sd="1" x="328"/>
        <item t="data" sd="1" x="329"/>
        <item t="data" sd="1" x="336"/>
        <item t="data" sd="1" x="330"/>
        <item t="data" sd="1" x="331"/>
        <item t="data" sd="1" x="332"/>
        <item t="data" sd="1" x="603"/>
        <item t="data" sd="1" x="333"/>
        <item t="data" sd="1" x="334"/>
        <item t="data" sd="1" x="335"/>
        <item t="data" sd="1" x="337"/>
        <item t="data" sd="1" x="338"/>
        <item t="data" sd="1" x="612"/>
        <item t="data" sd="1" x="339"/>
        <item t="data" sd="1" x="340"/>
        <item t="data" sd="1" x="582"/>
        <item t="data" sd="1" x="341"/>
        <item t="data" sd="1" x="342"/>
        <item t="data" sd="1" x="343"/>
        <item t="data" sd="1" x="344"/>
        <item t="data" sd="1" x="345"/>
        <item t="data" sd="1" x="637"/>
        <item t="data" sd="1" x="346"/>
        <item t="data" sd="1" x="347"/>
        <item t="data" sd="1" x="348"/>
        <item t="data" sd="1" x="570"/>
        <item t="data" sd="1" x="349"/>
        <item t="data" sd="1" x="350"/>
        <item t="data" sd="1" x="351"/>
        <item t="data" sd="1" x="352"/>
        <item t="data" sd="1" x="353"/>
        <item t="data" sd="1" x="354"/>
        <item t="data" sd="1" x="611"/>
        <item t="data" sd="1" x="355"/>
        <item t="data" sd="1" x="356"/>
        <item t="data" sd="1" x="357"/>
        <item t="data" sd="1" x="358"/>
        <item t="data" sd="1" x="359"/>
        <item t="data" sd="1" x="360"/>
        <item t="data" sd="1" x="361"/>
        <item t="data" sd="1" x="362"/>
        <item t="data" sd="1" x="566"/>
        <item t="data" sd="1" x="363"/>
        <item t="data" sd="1" x="364"/>
        <item t="data" sd="1" x="365"/>
        <item t="data" sd="1" x="644"/>
        <item t="data" sd="1" x="366"/>
        <item t="data" sd="1" x="367"/>
        <item t="data" sd="1" x="368"/>
        <item t="data" sd="1" x="369"/>
        <item t="data" sd="1" x="370"/>
        <item t="data" sd="1" x="371"/>
        <item t="data" sd="1" x="372"/>
        <item t="data" sd="1" x="373"/>
        <item t="data" sd="1" x="592"/>
        <item t="data" sd="1" x="374"/>
        <item t="data" sd="1" x="596"/>
        <item t="data" sd="1" x="375"/>
        <item t="data" sd="1" x="376"/>
        <item t="data" sd="1" x="377"/>
        <item t="data" sd="1" x="378"/>
        <item t="data" sd="1" x="379"/>
        <item t="data" sd="1" x="593"/>
        <item t="data" sd="1" x="380"/>
        <item t="data" sd="1" x="381"/>
        <item t="data" sd="1" x="382"/>
        <item t="data" sd="1" x="587"/>
        <item t="data" sd="1" x="383"/>
        <item t="data" sd="1" x="586"/>
        <item t="data" sd="1" x="384"/>
        <item t="data" sd="1" x="385"/>
        <item t="data" sd="1" x="386"/>
        <item t="data" sd="1" x="387"/>
        <item t="data" sd="1" x="388"/>
        <item t="data" sd="1" x="389"/>
        <item t="data" sd="1" x="390"/>
        <item t="data" sd="1" x="391"/>
        <item t="data" sd="1" x="392"/>
        <item t="data" sd="1" x="393"/>
        <item t="data" sd="1" x="394"/>
        <item t="data" sd="1" x="395"/>
        <item t="data" sd="1" x="597"/>
        <item t="data" sd="1" x="396"/>
        <item t="data" sd="1" x="397"/>
        <item t="data" sd="1" x="398"/>
        <item t="data" sd="1" x="399"/>
        <item t="data" sd="1" x="400"/>
        <item t="data" sd="1" x="551"/>
        <item t="data" sd="1" x="640"/>
        <item t="data" sd="1" x="401"/>
        <item t="data" sd="1" x="402"/>
        <item t="data" sd="1" x="403"/>
        <item t="data" sd="1" x="404"/>
        <item t="data" sd="1" x="405"/>
        <item t="data" sd="1" x="406"/>
        <item t="data" sd="1" x="407"/>
        <item t="data" sd="1" x="408"/>
        <item t="data" sd="1" x="409"/>
        <item t="data" sd="1" x="410"/>
        <item t="data" sd="1" x="610"/>
        <item t="data" sd="1" x="411"/>
        <item t="data" sd="1" x="412"/>
        <item t="data" sd="1" x="413"/>
        <item t="data" sd="1" x="414"/>
        <item t="data" sd="1" x="415"/>
        <item t="data" sd="1" x="416"/>
        <item t="data" sd="1" x="417"/>
        <item t="data" sd="1" x="418"/>
        <item t="data" sd="1" x="419"/>
        <item t="data" sd="1" x="420"/>
        <item t="data" sd="1" x="567"/>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604"/>
        <item t="data" sd="1" x="438"/>
        <item t="data" sd="1" x="439"/>
        <item t="data" sd="1" x="440"/>
        <item t="data" sd="1" x="441"/>
        <item t="data" sd="1" x="442"/>
        <item t="data" sd="1" x="568"/>
        <item t="data" sd="1" x="443"/>
        <item t="data" sd="1" x="444"/>
        <item t="data" sd="1" x="445"/>
        <item t="data" sd="1" x="601"/>
        <item t="data" sd="1" x="446"/>
        <item t="data" sd="1" x="447"/>
        <item t="data" sd="1" x="448"/>
        <item t="data" sd="1" x="449"/>
        <item t="data" sd="1" x="450"/>
        <item t="data" sd="1" x="451"/>
        <item t="data" sd="1" x="557"/>
        <item t="data" sd="1" x="452"/>
        <item t="data" sd="1" x="453"/>
        <item t="data" sd="1" x="454"/>
        <item t="data" sd="1" x="455"/>
        <item t="data" sd="1" x="456"/>
        <item t="data" sd="1" x="457"/>
        <item t="data" sd="1" x="458"/>
        <item t="data" sd="1" x="569"/>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608"/>
        <item t="data" sd="1" x="484"/>
        <item t="data" sd="1" x="485"/>
        <item t="data" sd="1" x="486"/>
        <item t="data" sd="1" x="487"/>
        <item t="data" sd="1" x="616"/>
        <item t="data" sd="1" x="628"/>
        <item t="data" sd="1" x="488"/>
        <item t="data" sd="1" x="489"/>
        <item t="data" sd="1" x="490"/>
        <item t="data" sd="1" x="633"/>
        <item t="data" sd="1" x="491"/>
        <item t="data" sd="1" x="602"/>
        <item t="data" sd="1" x="492"/>
        <item t="data" sd="1" x="572"/>
        <item t="data" sd="1" x="493"/>
        <item t="data" sd="1" x="494"/>
        <item t="data" sd="1" x="495"/>
        <item t="data" sd="1" x="600"/>
        <item t="data" sd="1" x="638"/>
        <item t="data" sd="1" x="561"/>
        <item t="data" sd="1" x="496"/>
        <item t="data" sd="1" x="497"/>
        <item t="data" sd="1" x="498"/>
        <item t="data" sd="1" x="573"/>
        <item t="data" sd="1" x="499"/>
        <item t="data" sd="1" x="500"/>
        <item t="data" sd="1" x="501"/>
        <item t="data" sd="1" x="502"/>
        <item t="data" sd="1" x="503"/>
        <item t="data" sd="1" x="504"/>
        <item t="data" sd="1" x="505"/>
        <item t="data" sd="1" x="506"/>
        <item t="data" sd="1" x="615"/>
        <item t="data" sd="1" x="507"/>
        <item t="data" sd="1" x="508"/>
        <item t="data" sd="1" x="509"/>
        <item t="data" sd="1" x="510"/>
        <item t="data" sd="1" x="511"/>
        <item t="data" sd="1" x="512"/>
        <item t="data" sd="1" x="598"/>
        <item t="data" sd="1" x="513"/>
        <item t="data" sd="1" x="514"/>
        <item t="data" sd="1" x="516"/>
        <item t="data" sd="1" x="515"/>
        <item t="data" sd="1" x="605"/>
        <item t="data" sd="1" x="630"/>
        <item t="data" sd="1" x="517"/>
        <item t="data" sd="1" x="518"/>
        <item t="data" sd="1" x="519"/>
        <item t="data" sd="1" x="520"/>
        <item t="data" sd="1" x="521"/>
        <item t="data" sd="1" x="522"/>
        <item t="data" sd="1" x="523"/>
        <item t="data" sd="1" x="524"/>
        <item t="data" sd="1" x="525"/>
        <item t="data" sd="1" x="526"/>
        <item t="data" sd="1" x="527"/>
        <item t="data" sd="1" x="528"/>
        <item t="data" sd="1" x="606"/>
        <item t="data" sd="1" x="529"/>
        <item t="data" sd="1" x="530"/>
        <item t="data" sd="1" x="574"/>
        <item t="data" sd="1" x="531"/>
        <item t="data" sd="1" x="532"/>
        <item t="data" sd="1" x="533"/>
        <item t="data" sd="1" x="534"/>
        <item t="data" sd="1" x="535"/>
        <item t="data" sd="1" x="536"/>
        <item t="data" sd="1" x="537"/>
        <item t="data" sd="1" x="538"/>
        <item t="data" sd="1" x="631"/>
        <item t="data" sd="1" x="646"/>
        <item t="data" sd="1" x="641"/>
        <item t="data" sd="1" x="634"/>
      </items>
    </pivotField>
    <pivotField axis="axisRow" showDropDowns="1" compact="0" outline="0" subtotalTop="1" dragToRow="1" dragToCol="1" dragToPage="1" dragToData="1" dragOff="1" showAll="0" topAutoShow="1" itemPageCount="10" sortType="manual" defaultSubtotal="0">
      <items count="395">
        <item t="data" sd="0" x="187"/>
        <item t="data" sd="0" x="127"/>
        <item t="data" sd="0" x="215"/>
        <item t="data" sd="0" x="259"/>
        <item t="data" sd="0" x="191"/>
        <item t="data" sd="0" x="189"/>
        <item t="data" sd="0" x="76"/>
        <item t="data" sd="0" x="10"/>
        <item t="data" sd="0" x="3"/>
        <item t="data" sd="0" x="110"/>
        <item t="data" sd="0" x="115"/>
        <item t="data" sd="0" x="34"/>
        <item t="data" sd="0" x="139"/>
        <item t="data" sd="0" x="339"/>
        <item t="data" sd="0" x="284"/>
        <item t="data" sd="0" x="148"/>
        <item t="data" sd="0" x="326"/>
        <item t="data" sd="0" x="49"/>
        <item t="data" sd="0" x="321"/>
        <item t="data" sd="0" x="251"/>
        <item t="data" sd="0" x="125"/>
        <item t="data" sd="0" x="28"/>
        <item t="data" sd="0" x="142"/>
        <item t="data" sd="0" x="282"/>
        <item t="data" sd="1" x="388"/>
        <item t="data" sd="0" x="154"/>
        <item t="data" sd="0" x="306"/>
        <item t="data" sd="0" x="46"/>
        <item t="data" sd="0" x="380"/>
        <item t="data" sd="0" x="4"/>
        <item t="data" sd="0" x="62"/>
        <item t="data" sd="0" x="146"/>
        <item t="data" sd="0" x="371"/>
        <item t="data" sd="0" x="394"/>
        <item t="data" sd="0" x="111"/>
        <item t="data" sd="0" x="243"/>
        <item t="data" sd="0" x="230"/>
        <item t="data" sd="0" x="369"/>
        <item t="data" sd="0" x="294"/>
        <item t="data" sd="0" x="63"/>
        <item t="data" sd="0" x="50"/>
        <item t="data" sd="0" x="52"/>
        <item t="data" sd="0" x="271"/>
        <item t="data" sd="0" x="39"/>
        <item t="data" sd="0" x="103"/>
        <item t="data" sd="0" x="358"/>
        <item t="data" sd="0" x="273"/>
        <item t="data" sd="0" x="210"/>
        <item t="data" sd="0" x="66"/>
        <item t="data" sd="0" x="135"/>
        <item t="data" sd="0" x="68"/>
        <item t="data" sd="0" x="161"/>
        <item t="data" sd="0" x="311"/>
        <item t="data" sd="0" x="177"/>
        <item t="data" sd="0" x="345"/>
        <item t="data" sd="0" x="299"/>
        <item t="data" sd="0" x="323"/>
        <item t="data" sd="0" x="44"/>
        <item t="data" sd="0" x="310"/>
        <item t="data" sd="0" x="386"/>
        <item t="data" sd="0" x="302"/>
        <item t="data" sd="0" x="279"/>
        <item t="data" sd="0" x="11"/>
        <item t="data" sd="0" x="120"/>
        <item t="data" sd="0" x="289"/>
        <item t="data" sd="0" x="159"/>
        <item t="data" sd="0" x="334"/>
        <item t="data" sd="0" x="296"/>
        <item t="data" sd="0" x="341"/>
        <item t="data" sd="0" x="240"/>
        <item t="data" sd="0" x="360"/>
        <item t="data" sd="0" x="121"/>
        <item t="data" sd="0" x="359"/>
        <item t="data" sd="0" x="116"/>
        <item t="data" sd="0" x="247"/>
        <item t="data" sd="0" x="216"/>
        <item t="data" sd="0" x="270"/>
        <item t="data" sd="0" x="132"/>
        <item t="data" sd="0" x="292"/>
        <item t="data" sd="0" x="331"/>
        <item t="data" sd="0" x="82"/>
        <item t="data" sd="0" x="184"/>
        <item t="data" sd="0" x="12"/>
        <item t="data" sd="0" x="254"/>
        <item t="data" sd="0" x="172"/>
        <item t="data" sd="0" x="23"/>
        <item t="data" sd="0" x="160"/>
        <item t="data" sd="0" x="53"/>
        <item t="data" sd="0" x="221"/>
        <item t="data" sd="0" x="86"/>
        <item t="data" sd="0" x="47"/>
        <item t="data" sd="0" x="69"/>
        <item t="data" sd="0" x="362"/>
        <item t="data" sd="0" x="298"/>
        <item t="data" sd="0" x="353"/>
        <item t="data" sd="0" x="309"/>
        <item t="data" sd="0" x="320"/>
        <item t="data" sd="0" x="375"/>
        <item t="data" sd="0" x="226"/>
        <item t="data" sd="0" x="24"/>
        <item t="data" sd="0" x="126"/>
        <item t="data" sd="0" x="96"/>
        <item t="data" sd="0" x="232"/>
        <item t="data" sd="0" x="95"/>
        <item t="data" sd="0" x="231"/>
        <item t="data" sd="0" x="315"/>
        <item t="data" sd="0" x="211"/>
        <item t="data" sd="0" x="319"/>
        <item t="data" sd="0" x="182"/>
        <item t="data" sd="0" x="26"/>
        <item t="data" sd="0" x="27"/>
        <item t="data" sd="0" x="59"/>
        <item t="data" sd="0" x="200"/>
        <item t="data" sd="0" x="83"/>
        <item t="data" sd="0" x="337"/>
        <item t="data" sd="0" x="208"/>
        <item t="data" sd="0" x="101"/>
        <item t="data" sd="0" x="97"/>
        <item t="data" sd="0" x="7"/>
        <item t="data" sd="0" x="327"/>
        <item t="data" sd="0" x="48"/>
        <item t="data" sd="0" x="8"/>
        <item t="data" sd="0" x="30"/>
        <item t="data" sd="0" x="94"/>
        <item t="data" sd="0" x="276"/>
        <item t="data" sd="0" x="324"/>
        <item t="data" sd="0" x="171"/>
        <item t="data" sd="0" x="45"/>
        <item t="data" sd="0" x="164"/>
        <item t="data" sd="0" x="64"/>
        <item t="data" sd="0" x="14"/>
        <item t="data" sd="0" x="93"/>
        <item t="data" sd="0" x="214"/>
        <item t="data" sd="0" x="113"/>
        <item t="data" sd="0" x="238"/>
        <item t="data" sd="0" x="112"/>
        <item t="data" sd="0" x="293"/>
        <item t="data" sd="0" x="285"/>
        <item t="data" sd="0" x="204"/>
        <item t="data" sd="0" x="198"/>
        <item t="data" sd="0" x="55"/>
        <item t="data" sd="0" x="303"/>
        <item t="data" sd="0" x="351"/>
        <item t="data" sd="0" x="370"/>
        <item t="data" sd="0" x="349"/>
        <item t="data" sd="0" x="117"/>
        <item t="data" sd="0" x="223"/>
        <item t="data" sd="0" x="253"/>
        <item t="data" sd="0" x="249"/>
        <item t="data" sd="0" x="301"/>
        <item t="data" sd="0" x="124"/>
        <item t="data" sd="0" x="185"/>
        <item t="data" sd="0" x="392"/>
        <item t="data" sd="0" x="376"/>
        <item t="data" sd="0" x="365"/>
        <item t="data" sd="0" x="385"/>
        <item t="data" sd="0" x="129"/>
        <item t="data" sd="0" x="75"/>
        <item t="data" sd="0" x="174"/>
        <item t="data" sd="0" x="165"/>
        <item t="data" sd="0" x="152"/>
        <item t="data" sd="0" x="122"/>
        <item t="data" sd="0" x="38"/>
        <item t="data" sd="0" x="336"/>
        <item t="data" sd="0" x="352"/>
        <item t="data" sd="0" x="350"/>
        <item t="data" sd="0" x="363"/>
        <item t="data" sd="0" x="361"/>
        <item t="data" sd="0" x="145"/>
        <item t="data" sd="0" x="393"/>
        <item t="data" sd="0" x="348"/>
        <item t="data" sd="0" x="379"/>
        <item t="data" sd="0" x="178"/>
        <item t="data" sd="0" x="381"/>
        <item t="data" sd="0" x="65"/>
        <item t="data" sd="0" x="277"/>
        <item t="data" sd="0" x="147"/>
        <item t="data" sd="0" x="144"/>
        <item t="data" sd="0" x="344"/>
        <item t="data" sd="0" x="318"/>
        <item t="data" sd="0" x="181"/>
        <item t="data" sd="0" x="307"/>
        <item t="data" sd="0" x="290"/>
        <item t="data" sd="0" x="179"/>
        <item t="data" sd="0" x="158"/>
        <item t="data" sd="0" x="228"/>
        <item t="data" sd="0" x="250"/>
        <item t="data" sd="0" x="100"/>
        <item t="data" sd="0" x="272"/>
        <item t="data" sd="0" x="37"/>
        <item t="data" sd="0" x="175"/>
        <item t="data" sd="0" x="137"/>
        <item t="data" sd="0" x="141"/>
        <item t="data" sd="0" x="151"/>
        <item t="data" sd="0" x="206"/>
        <item t="data" sd="0" x="36"/>
        <item t="data" sd="0" x="1"/>
        <item t="data" sd="0" x="29"/>
        <item t="data" sd="0" x="166"/>
        <item t="data" sd="0" x="33"/>
        <item t="data" sd="0" x="13"/>
        <item t="data" sd="0" x="387"/>
        <item t="data" sd="0" x="71"/>
        <item t="data" sd="0" x="300"/>
        <item t="data" sd="0" x="338"/>
        <item t="data" sd="0" x="287"/>
        <item t="data" sd="0" x="317"/>
        <item t="data" sd="0" x="389"/>
        <item t="data" sd="0" x="5"/>
        <item t="data" sd="0" x="308"/>
        <item t="data" sd="0" x="236"/>
        <item t="data" sd="0" x="90"/>
        <item t="data" sd="0" x="156"/>
        <item t="data" sd="0" x="70"/>
        <item t="data" sd="0" x="268"/>
        <item t="data" sd="0" x="60"/>
        <item t="data" sd="0" x="108"/>
        <item t="data" sd="0" x="84"/>
        <item t="data" sd="0" x="104"/>
        <item t="data" sd="0" x="196"/>
        <item t="data" sd="0" x="170"/>
        <item t="data" sd="0" x="199"/>
        <item t="data" sd="0" x="201"/>
        <item t="data" sd="0" x="98"/>
        <item t="data" sd="0" x="173"/>
        <item t="data" sd="0" x="180"/>
        <item t="data" sd="0" x="87"/>
        <item t="data" sd="0" x="169"/>
        <item t="data" sd="0" x="72"/>
        <item t="data" sd="0" x="107"/>
        <item t="data" sd="0" x="123"/>
        <item t="data" sd="0" x="242"/>
        <item t="data" sd="0" x="333"/>
        <item t="data" sd="0" x="322"/>
        <item t="data" sd="0" x="109"/>
        <item t="data" sd="0" x="54"/>
        <item t="data" sd="0" x="106"/>
        <item t="data" sd="0" x="192"/>
        <item t="data" sd="0" x="225"/>
        <item t="data" sd="0" x="241"/>
        <item t="data" sd="0" x="51"/>
        <item t="data" sd="0" x="212"/>
        <item t="data" sd="0" x="2"/>
        <item t="data" sd="0" x="248"/>
        <item t="data" sd="0" x="188"/>
        <item t="data" sd="0" x="9"/>
        <item t="data" sd="0" x="342"/>
        <item t="data" sd="0" x="383"/>
        <item t="data" sd="0" x="67"/>
        <item t="data" sd="0" x="274"/>
        <item t="data" sd="0" x="202"/>
        <item t="data" sd="0" x="193"/>
        <item t="data" sd="0" x="275"/>
        <item t="data" sd="0" x="40"/>
        <item t="data" sd="0" x="133"/>
        <item t="data" sd="0" x="378"/>
        <item t="data" sd="0" x="149"/>
        <item t="data" sd="0" x="41"/>
        <item t="data" sd="0" x="220"/>
        <item t="data" sd="0" x="42"/>
        <item t="data" sd="0" x="224"/>
        <item t="data" sd="0" x="43"/>
        <item t="data" sd="0" x="255"/>
        <item t="data" sd="0" x="313"/>
        <item t="data" sd="0" x="335"/>
        <item t="data" sd="0" x="297"/>
        <item t="data" sd="0" x="295"/>
        <item t="data" sd="0" x="35"/>
        <item t="data" sd="0" x="329"/>
        <item t="data" sd="0" x="291"/>
        <item t="data" sd="0" x="280"/>
        <item t="data" sd="0" x="278"/>
        <item t="data" sd="0" x="357"/>
        <item t="data" sd="0" x="197"/>
        <item t="data" sd="0" x="17"/>
        <item t="data" sd="0" x="364"/>
        <item t="data" sd="0" x="128"/>
        <item t="data" sd="0" x="347"/>
        <item t="data" sd="0" x="330"/>
        <item t="data" sd="0" x="21"/>
        <item t="data" sd="0" x="31"/>
        <item t="data" sd="0" x="176"/>
        <item t="data" sd="0" x="143"/>
        <item t="data" sd="0" x="366"/>
        <item t="data" sd="0" x="205"/>
        <item t="data" sd="0" x="265"/>
        <item t="data" sd="0" x="374"/>
        <item t="data" sd="0" x="89"/>
        <item t="data" sd="0" x="102"/>
        <item t="data" sd="0" x="203"/>
        <item t="data" sd="0" x="61"/>
        <item t="data" sd="0" x="134"/>
        <item t="data" sd="0" x="194"/>
        <item t="data" sd="0" x="227"/>
        <item t="data" sd="0" x="384"/>
        <item t="data" sd="0" x="391"/>
        <item t="data" sd="0" x="92"/>
        <item t="data" sd="0" x="195"/>
        <item t="data" sd="0" x="346"/>
        <item t="data" sd="0" x="85"/>
        <item t="data" sd="0" x="340"/>
        <item t="data" sd="0" x="209"/>
        <item t="data" sd="0" x="140"/>
        <item t="data" sd="0" x="328"/>
        <item t="data" sd="0" x="343"/>
        <item t="data" sd="0" x="157"/>
        <item t="data" sd="0" x="207"/>
        <item t="data" sd="0" x="118"/>
        <item t="data" sd="0" x="32"/>
        <item t="data" sd="0" x="91"/>
        <item t="data" sd="0" x="131"/>
        <item t="data" sd="0" x="105"/>
        <item t="data" sd="0" x="19"/>
        <item t="data" sd="0" x="22"/>
        <item t="data" sd="0" x="213"/>
        <item t="data" sd="0" x="235"/>
        <item t="data" sd="0" x="56"/>
        <item t="data" sd="0" x="355"/>
        <item t="data" sd="0" x="233"/>
        <item t="data" sd="0" x="325"/>
        <item t="data" sd="0" x="58"/>
        <item t="data" sd="0" x="245"/>
        <item t="data" sd="0" x="234"/>
        <item t="data" sd="0" x="286"/>
        <item t="data" sd="0" x="163"/>
        <item t="data" sd="0" x="229"/>
        <item t="data" sd="0" x="162"/>
        <item t="data" sd="0" x="237"/>
        <item t="data" sd="0" x="312"/>
        <item t="data" sd="0" x="219"/>
        <item t="data" sd="0" x="372"/>
        <item t="data" sd="0" x="244"/>
        <item t="data" sd="0" x="314"/>
        <item t="data" sd="0" x="217"/>
        <item t="data" sd="0" x="218"/>
        <item t="data" sd="0" x="262"/>
        <item t="data" sd="0" x="354"/>
        <item t="data" sd="0" x="390"/>
        <item t="data" sd="0" x="368"/>
        <item t="data" sd="0" x="377"/>
        <item t="data" sd="0" x="373"/>
        <item t="data" sd="0" x="356"/>
        <item t="data" sd="0" x="25"/>
        <item t="data" sd="0" x="256"/>
        <item t="data" sd="0" x="239"/>
        <item t="data" sd="0" x="150"/>
        <item t="data" sd="0" x="222"/>
        <item t="data" sd="0" x="252"/>
        <item t="data" sd="0" x="99"/>
        <item t="data" sd="0" x="15"/>
        <item t="data" sd="0" x="16"/>
        <item t="data" sd="0" x="20"/>
        <item t="data" sd="0" x="80"/>
        <item t="data" sd="0" x="88"/>
        <item t="data" sd="0" x="382"/>
        <item t="data" sd="0" x="304"/>
        <item t="data" sd="0" x="305"/>
        <item t="data" sd="0" x="283"/>
        <item t="data" sd="0" x="168"/>
        <item t="data" sd="0" x="316"/>
        <item t="data" sd="0" x="81"/>
        <item t="data" sd="0" x="288"/>
        <item t="data" sd="0" x="260"/>
        <item t="data" sd="0" x="257"/>
        <item t="data" sd="0" x="78"/>
        <item t="data" sd="0" x="136"/>
        <item t="data" sd="0" x="183"/>
        <item t="data" sd="0" x="246"/>
        <item t="data" sd="0" x="263"/>
        <item t="data" sd="0" x="190"/>
        <item t="data" sd="0" x="153"/>
        <item t="data" sd="0" x="18"/>
        <item t="data" sd="0" x="73"/>
        <item t="data" sd="0" x="186"/>
        <item t="data" sd="0" x="79"/>
        <item t="data" sd="0" x="0"/>
        <item t="data" sd="0" x="261"/>
        <item t="data" sd="0" x="264"/>
        <item t="data" sd="0" x="77"/>
        <item t="data" sd="0" x="332"/>
        <item t="data" sd="0" x="74"/>
        <item t="data" sd="0" x="167"/>
        <item t="data" sd="0" x="266"/>
        <item t="data" sd="0" x="57"/>
        <item t="data" sd="0" x="114"/>
        <item t="data" sd="0" x="130"/>
        <item t="data" sd="0" x="281"/>
        <item t="data" sd="0" x="267"/>
        <item t="data" sd="0" x="119"/>
        <item t="data" sd="0" x="258"/>
        <item t="data" sd="0" x="269"/>
        <item t="data" sd="0" x="138"/>
        <item t="data" sd="0" x="367"/>
        <item t="data" sd="0" x="6"/>
        <item t="data" sd="0" x="155"/>
      </items>
    </pivotField>
    <pivotField axis="axisPage" showDropDowns="1" compact="0" outline="0" subtotalTop="1" dragToRow="1" dragToCol="1" dragToPage="1" dragToData="1" dragOff="1" showAll="0" topAutoShow="1" itemPageCount="10" sortType="manual" defaultSubtotal="0">
      <items count="20">
        <item t="data" sd="1" x="2"/>
        <item t="data" sd="1" x="13"/>
        <item t="data" sd="1" x="0"/>
        <item t="data" sd="1" x="10"/>
        <item t="data" sd="1" x="7"/>
        <item t="data" sd="1" x="3"/>
        <item t="data" sd="1" x="16"/>
        <item t="data" sd="1" x="18"/>
        <item t="data" sd="1" x="12"/>
        <item t="data" sd="1" x="15"/>
        <item t="data" sd="1" x="11"/>
        <item t="data" sd="1" x="17"/>
        <item t="data" sd="1" x="14"/>
        <item t="data" sd="1" x="19"/>
        <item t="data" sd="1" x="6"/>
        <item t="data" sd="1" x="8"/>
        <item t="data" sd="1" x="5"/>
        <item t="data" sd="1" x="1"/>
        <item t="data" sd="1" x="9"/>
        <item t="data" sd="1" x="4"/>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5">
        <item t="data" sd="1" x="3"/>
        <item t="data" sd="1" x="0"/>
        <item t="data" sd="1" x="2"/>
        <item t="data" sd="1" x="1"/>
        <item t="default" sd="1"/>
      </items>
    </pivotField>
    <pivotField axis="axisRow" showDropDowns="1" compact="0" outline="0" subtotalTop="1" dragToRow="1" dragToCol="1" dragToPage="1" dragToData="1" dragOff="1" showAll="0" topAutoShow="1" itemPageCount="10" sortType="descending" defaultSubtotal="1">
      <items count="19">
        <item t="data" sd="1" x="8"/>
        <item t="data" sd="0" x="15"/>
        <item t="data" sd="0" x="10"/>
        <item t="data" sd="0" x="12"/>
        <item t="data" sd="0" x="11"/>
        <item t="data" sd="0" x="17"/>
        <item t="data" sd="0" x="7"/>
        <item t="data" sd="0" x="13"/>
        <item t="data" sd="1" x="0"/>
        <item t="data" sd="0" x="4"/>
        <item t="data" sd="0" x="2"/>
        <item t="data" sd="1" x="1"/>
        <item t="data" sd="0" x="5"/>
        <item t="data" sd="0" x="3"/>
        <item t="data" sd="0" x="9"/>
        <item t="data" sd="0" x="16"/>
        <item t="data" sd="0" x="14"/>
        <item t="data" sd="0" x="6"/>
        <item t="default" sd="0"/>
      </items>
      <autoSortScope>
        <pivotArea type="normal" dataOnly="0" outline="0" fieldPosition="0">
          <references count="1">
            <reference field="4294967294" selected="0">
              <x v="0"/>
            </reference>
          </references>
        </pivotArea>
      </autoSortScope>
    </pivotField>
    <pivotField showDropDowns="1" compact="0" outline="0" subtotalTop="1" dragToRow="1" dragToCol="1" dragToPage="1" dragToData="1" dragOff="1" showAll="0" topAutoShow="1" itemPageCount="10" sortType="manual" defaultSubtotal="1"/>
  </pivotFields>
  <rowFields count="4">
    <field x="24"/>
    <field x="0"/>
    <field x="1"/>
    <field x="23"/>
  </rowFields>
  <rowItems count="170">
    <i t="data" r="0" i="0">
      <x v="10"/>
    </i>
    <i t="data" r="0" i="0">
      <x v="11"/>
      <x v="1"/>
      <x v="196"/>
    </i>
    <i t="data" r="1" i="0">
      <x v="3"/>
      <x v="242"/>
    </i>
    <i t="data" r="1" i="0">
      <x v="31"/>
      <x v="342"/>
    </i>
    <i t="data" r="1" i="0">
      <x v="38"/>
      <x v="197"/>
    </i>
    <i t="data" r="1" i="0">
      <x v="50"/>
      <x v="195"/>
    </i>
    <i t="data" r="1" i="0">
      <x v="62"/>
      <x v="393"/>
    </i>
    <i t="data" r="1" i="0">
      <x v="63"/>
      <x v="259"/>
    </i>
    <i t="data" r="1" i="0">
      <x v="64"/>
      <x v="261"/>
    </i>
    <i t="data" r="1" i="0">
      <x v="65"/>
      <x v="261"/>
    </i>
    <i t="data" r="1" i="0">
      <x v="87"/>
      <x v="393"/>
    </i>
    <i t="data" r="1" i="0">
      <x v="90"/>
      <x v="320"/>
    </i>
    <i t="data" r="1" i="0">
      <x v="98"/>
      <x v="37"/>
    </i>
    <i t="data" r="1" i="0">
      <x v="99"/>
      <x v="129"/>
    </i>
    <i t="data" r="1" i="0">
      <x v="100"/>
      <x v="393"/>
    </i>
    <i t="data" r="1" i="0">
      <x v="132"/>
      <x v="393"/>
    </i>
    <i t="data" r="1" i="0">
      <x v="135"/>
      <x v="393"/>
    </i>
    <i t="data" r="1" i="0">
      <x v="137"/>
      <x v="393"/>
    </i>
    <i t="data" r="1" i="0">
      <x v="163"/>
      <x v="393"/>
    </i>
    <i t="data" r="1" i="0">
      <x v="166"/>
      <x v="393"/>
    </i>
    <i t="data" r="1" i="0">
      <x v="194"/>
      <x v="393"/>
    </i>
    <i t="data" r="1" i="0">
      <x v="217"/>
      <x v="9"/>
    </i>
    <i t="data" r="1" i="0">
      <x v="220"/>
      <x v="261"/>
    </i>
    <i t="data" r="1" i="0">
      <x v="226"/>
      <x v="34"/>
    </i>
    <i t="data" r="1" i="0">
      <x v="236"/>
      <x v="393"/>
    </i>
    <i t="data" r="1" i="0">
      <x v="278"/>
      <x v="77"/>
    </i>
    <i t="data" r="1" i="0">
      <x v="296"/>
      <x v="393"/>
    </i>
    <i t="data" r="1" i="0">
      <x v="301"/>
      <x v="393"/>
    </i>
    <i t="data" r="1" i="0">
      <x v="310"/>
      <x v="393"/>
    </i>
    <i t="data" r="1" i="0">
      <x v="317"/>
      <x v="256"/>
    </i>
    <i t="data" r="2" i="0">
      <x v="393"/>
    </i>
    <i t="data" r="1" i="0">
      <x v="319"/>
      <x v="393"/>
    </i>
    <i t="data" r="1" i="0">
      <x v="324"/>
      <x v="393"/>
    </i>
    <i t="data" r="1" i="0">
      <x v="325"/>
      <x v="393"/>
    </i>
    <i t="data" r="1" i="0">
      <x v="326"/>
      <x v="393"/>
    </i>
    <i t="data" r="1" i="0">
      <x v="334"/>
      <x v="34"/>
    </i>
    <i t="data" r="1" i="0">
      <x v="342"/>
      <x v="184"/>
    </i>
    <i t="data" r="1" i="0">
      <x v="343"/>
      <x v="65"/>
    </i>
    <i t="data" r="1" i="0">
      <x v="365"/>
      <x v="393"/>
    </i>
    <i t="data" r="1" i="0">
      <x v="366"/>
      <x v="198"/>
    </i>
    <i t="data" r="1" i="0">
      <x v="367"/>
      <x v="393"/>
    </i>
    <i t="data" r="1" i="0">
      <x v="378"/>
      <x v="393"/>
    </i>
    <i t="data" r="1" i="0">
      <x v="379"/>
      <x v="393"/>
    </i>
    <i t="data" r="1" i="0">
      <x v="396"/>
      <x v="199"/>
    </i>
    <i t="data" r="1" i="0">
      <x v="423"/>
      <x v="199"/>
    </i>
    <i t="data" r="1" i="0">
      <x v="443"/>
      <x v="393"/>
    </i>
    <i t="data" r="1" i="0">
      <x v="449"/>
      <x v="393"/>
    </i>
    <i t="data" r="1" i="0">
      <x v="482"/>
      <x v="194"/>
    </i>
    <i t="data" r="1" i="0">
      <x v="502"/>
      <x v="393"/>
    </i>
    <i t="data" r="1" i="0">
      <x v="508"/>
      <x v="393"/>
    </i>
    <i t="data" r="1" i="0">
      <x v="509"/>
      <x v="393"/>
    </i>
    <i t="data" r="1" i="0">
      <x v="555"/>
      <x v="210"/>
    </i>
    <i t="data" r="1" i="0">
      <x v="566"/>
      <x v="199"/>
    </i>
    <i t="data" r="1" i="0">
      <x v="567"/>
      <x v="35"/>
    </i>
    <i t="data" r="1" i="0">
      <x v="585"/>
      <x v="19"/>
    </i>
    <i t="data" r="1" i="0">
      <x v="623"/>
      <x v="393"/>
    </i>
    <i t="data" r="1" i="0">
      <x v="626"/>
      <x v="197"/>
    </i>
    <i t="data" r="1" i="0">
      <x v="629"/>
      <x v="210"/>
    </i>
    <i t="data" r="1" i="0">
      <x v="636"/>
      <x v="188"/>
    </i>
    <i t="data" r="1" i="0">
      <x v="642"/>
      <x v="252"/>
    </i>
    <i t="default" r="0" i="0">
      <x v="11"/>
    </i>
    <i t="data" r="0" i="0">
      <x v="8"/>
      <x v="0"/>
      <x v="375"/>
    </i>
    <i t="data" r="1" i="0">
      <x v="35"/>
      <x v="270"/>
    </i>
    <i t="data" r="1" i="0">
      <x v="61"/>
      <x v="257"/>
    </i>
    <i t="data" r="1" i="0">
      <x v="68"/>
      <x v="14"/>
    </i>
    <i t="data" r="1" i="0">
      <x v="82"/>
      <x v="87"/>
    </i>
    <i t="data" r="1" i="0">
      <x v="113"/>
      <x v="91"/>
    </i>
    <i t="data" r="1" i="0">
      <x v="114"/>
      <x v="361"/>
    </i>
    <i t="data" r="1" i="0">
      <x v="130"/>
      <x v="199"/>
    </i>
    <i t="data" r="1" i="0">
      <x v="145"/>
      <x v="393"/>
    </i>
    <i t="data" r="1" i="0">
      <x v="147"/>
      <x v="338"/>
    </i>
    <i t="data" r="1" i="0">
      <x v="150"/>
      <x v="393"/>
    </i>
    <i t="data" r="1" i="0">
      <x v="181"/>
      <x v="103"/>
    </i>
    <i t="data" r="1" i="0">
      <x v="182"/>
      <x v="101"/>
    </i>
    <i t="data" r="1" i="0">
      <x v="183"/>
      <x v="117"/>
    </i>
    <i t="data" r="1" i="0">
      <x v="186"/>
      <x v="67"/>
    </i>
    <i t="data" r="1" i="0">
      <x v="195"/>
      <x v="116"/>
    </i>
    <i t="data" r="1" i="0">
      <x v="199"/>
      <x v="218"/>
    </i>
    <i t="data" r="1" i="0">
      <x v="207"/>
      <x v="234"/>
    </i>
    <i t="data" r="1" i="0">
      <x v="246"/>
      <x v="388"/>
    </i>
    <i t="data" r="1" i="0">
      <x v="247"/>
      <x v="393"/>
    </i>
    <i t="data" r="1" i="0">
      <x v="248"/>
      <x v="393"/>
    </i>
    <i t="data" r="1" i="0">
      <x v="289"/>
      <x v="393"/>
    </i>
    <i t="data" r="1" i="0">
      <x v="311"/>
      <x v="393"/>
    </i>
    <i t="data" r="1" i="0">
      <x v="312"/>
      <x v="393"/>
    </i>
    <i t="data" r="1" i="0">
      <x v="316"/>
      <x v="15"/>
    </i>
    <i t="data" r="1" i="0">
      <x v="332"/>
      <x v="300"/>
    </i>
    <i t="data" r="1" i="0">
      <x v="363"/>
      <x v="393"/>
    </i>
    <i t="data" r="1" i="0">
      <x v="370"/>
      <x v="227"/>
    </i>
    <i t="data" r="1" i="0">
      <x v="393"/>
      <x v="359"/>
    </i>
    <i t="data" r="1" i="0">
      <x v="394"/>
      <x v="58"/>
    </i>
    <i t="data" r="1" i="0">
      <x v="410"/>
      <x v="393"/>
    </i>
    <i t="data" r="1" i="0">
      <x v="442"/>
      <x v="24"/>
      <x v="0"/>
    </i>
    <i t="data" r="1" i="0">
      <x v="445"/>
      <x v="297"/>
    </i>
    <i t="data" r="1" i="0">
      <x v="459"/>
      <x v="13"/>
    </i>
    <i t="data" r="1" i="0">
      <x v="485"/>
      <x v="294"/>
    </i>
    <i t="data" r="1" i="0">
      <x v="493"/>
      <x v="106"/>
    </i>
    <i t="data" r="1" i="0">
      <x v="496"/>
      <x v="336"/>
    </i>
    <i t="data" r="1" i="0">
      <x v="498"/>
      <x v="393"/>
    </i>
    <i t="data" r="1" i="0">
      <x v="499"/>
      <x v="2"/>
    </i>
    <i t="data" r="1" i="0">
      <x v="500"/>
      <x v="393"/>
    </i>
    <i t="data" r="1" i="0">
      <x v="501"/>
      <x v="393"/>
    </i>
    <i t="data" r="1" i="0">
      <x v="503"/>
      <x v="393"/>
    </i>
    <i t="data" r="1" i="0">
      <x v="548"/>
      <x v="318"/>
    </i>
    <i t="data" r="1" i="0">
      <x v="568"/>
      <x v="199"/>
    </i>
    <i t="data" r="1" i="0">
      <x v="628"/>
      <x v="390"/>
    </i>
    <i t="data" r="1" i="0">
      <x v="638"/>
      <x v="107"/>
    </i>
    <i t="data" r="1" i="0">
      <x v="648"/>
      <x v="337"/>
    </i>
    <i t="default" r="0" i="0">
      <x v="8"/>
    </i>
    <i t="data" r="0" i="0">
      <x v="0"/>
      <x v="24"/>
      <x v="279"/>
    </i>
    <i t="data" r="1" i="0">
      <x v="81"/>
      <x v="393"/>
    </i>
    <i t="data" r="1" i="0">
      <x v="85"/>
      <x v="393"/>
    </i>
    <i t="data" r="1" i="0">
      <x v="89"/>
      <x v="196"/>
    </i>
    <i t="data" r="2" i="0">
      <x v="199"/>
    </i>
    <i t="data" r="1" i="0">
      <x v="101"/>
      <x v="393"/>
    </i>
    <i t="data" r="1" i="0">
      <x v="111"/>
      <x v="393"/>
    </i>
    <i t="data" r="1" i="0">
      <x v="159"/>
      <x v="207"/>
    </i>
    <i t="data" r="1" i="0">
      <x v="165"/>
      <x v="211"/>
    </i>
    <i t="data" r="1" i="0">
      <x v="171"/>
      <x v="393"/>
    </i>
    <i t="data" r="1" i="0">
      <x v="175"/>
      <x v="393"/>
    </i>
    <i t="data" r="1" i="0">
      <x v="179"/>
      <x v="393"/>
    </i>
    <i t="data" r="1" i="0">
      <x v="211"/>
      <x v="393"/>
    </i>
    <i t="data" r="1" i="0">
      <x v="221"/>
      <x v="393"/>
    </i>
    <i t="data" r="1" i="0">
      <x v="241"/>
      <x v="153"/>
    </i>
    <i t="data" r="1" i="0">
      <x v="261"/>
      <x v="393"/>
    </i>
    <i t="data" r="1" i="0">
      <x v="263"/>
      <x v="393"/>
    </i>
    <i t="data" r="1" i="0">
      <x v="314"/>
      <x v="176"/>
    </i>
    <i t="data" r="1" i="0">
      <x v="322"/>
      <x v="393"/>
    </i>
    <i t="data" r="1" i="0">
      <x v="344"/>
      <x v="393"/>
    </i>
    <i t="data" r="1" i="0">
      <x v="353"/>
      <x v="393"/>
    </i>
    <i t="data" r="1" i="0">
      <x v="380"/>
      <x v="53"/>
    </i>
    <i t="data" r="1" i="0">
      <x v="386"/>
      <x v="183"/>
    </i>
    <i t="data" r="1" i="0">
      <x v="390"/>
      <x v="393"/>
    </i>
    <i t="data" r="1" i="0">
      <x v="427"/>
      <x v="393"/>
    </i>
    <i t="data" r="1" i="0">
      <x v="432"/>
      <x v="199"/>
    </i>
    <i t="data" r="1" i="0">
      <x v="457"/>
      <x v="393"/>
    </i>
    <i t="data" r="1" i="0">
      <x v="458"/>
      <x v="393"/>
    </i>
    <i t="data" r="1" i="0">
      <x v="460"/>
      <x v="273"/>
    </i>
    <i t="data" r="1" i="0">
      <x v="474"/>
      <x v="199"/>
    </i>
    <i t="data" r="1" i="0">
      <x v="511"/>
      <x v="199"/>
    </i>
    <i t="data" r="1" i="0">
      <x v="517"/>
      <x v="393"/>
    </i>
    <i t="data" r="1" i="0">
      <x v="536"/>
      <x v="393"/>
    </i>
    <i t="data" r="1" i="0">
      <x v="549"/>
      <x v="393"/>
    </i>
    <i t="data" r="1" i="0">
      <x v="558"/>
      <x v="393"/>
    </i>
    <i t="data" r="1" i="0">
      <x v="563"/>
      <x v="393"/>
    </i>
    <i t="data" r="1" i="0">
      <x v="577"/>
      <x v="393"/>
    </i>
    <i t="data" r="1" i="0">
      <x v="591"/>
      <x v="393"/>
    </i>
    <i t="data" r="1" i="0">
      <x v="592"/>
      <x v="393"/>
    </i>
    <i t="data" r="1" i="0">
      <x v="604"/>
      <x v="393"/>
    </i>
    <i t="data" r="1" i="0">
      <x v="612"/>
      <x v="393"/>
    </i>
    <i t="data" r="1" i="0">
      <x v="613"/>
      <x v="393"/>
    </i>
    <i t="data" r="1" i="0">
      <x v="634"/>
      <x v="393"/>
    </i>
    <i t="data" r="1" i="0">
      <x v="645"/>
      <x v="175"/>
    </i>
    <i t="data" r="1" i="0">
      <x v="647"/>
      <x v="97"/>
    </i>
    <i t="default" r="0" i="0">
      <x v="0"/>
    </i>
    <i t="data" r="0" i="0">
      <x v="6"/>
    </i>
    <i t="data" r="0" i="0">
      <x v="12"/>
    </i>
    <i t="data" r="0" i="0">
      <x v="4"/>
    </i>
    <i t="data" r="0" i="0">
      <x v="3"/>
    </i>
    <i t="data" r="0" i="0">
      <x v="2"/>
    </i>
    <i t="data" r="0" i="0">
      <x v="9"/>
    </i>
    <i t="data" r="0" i="0">
      <x v="14"/>
    </i>
    <i t="data" r="0" i="0">
      <x v="17"/>
    </i>
    <i t="data" r="0" i="0">
      <x v="7"/>
    </i>
    <i t="data" r="0" i="0">
      <x v="16"/>
    </i>
    <i t="data" r="0" i="0">
      <x v="15"/>
    </i>
    <i t="data" r="0" i="0">
      <x v="13"/>
    </i>
    <i t="data" r="0" i="0">
      <x v="1"/>
    </i>
    <i t="data" r="0" i="0">
      <x v="5"/>
    </i>
    <i t="grand" r="0" i="0">
      <x v="0"/>
    </i>
  </rowItems>
  <colItems count="1">
    <i t="data" r="0" i="0"/>
  </colItems>
  <pageFields count="1">
    <pageField fld="2" hier="-1"/>
  </pageFields>
  <dataFields count="1">
    <dataField name="Count of Application" fld="0" subtotal="count" showDataAs="normal" baseField="0" baseItem="0"/>
  </dataFields>
  <pivotTableStyleInfo showRowHeaders="1" showColHeaders="1" showRowStripes="0" showColStripes="0" showLastColumn="1"/>
</pivotTableDefinition>
</file>

<file path=xl/tables/table1.xml><?xml version="1.0" encoding="utf-8"?>
<table xmlns="http://schemas.openxmlformats.org/spreadsheetml/2006/main" id="1" name="CategorySummaryTable" displayName="CategorySummaryTable" ref="A1:B21" headerRowCount="1" totalsRowShown="0" headerRowDxfId="3" dataDxfId="2">
  <tableColumns count="2">
    <tableColumn id="1" name="Portfolio Category" dataDxfId="1"/>
    <tableColumn id="2" name="Portfolio Category 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pivotTable" Target="/xl/pivotTables/pivotTable1.xml" Id="rId1" /></Relationships>
</file>

<file path=xl/worksheets/_rels/sheet6.xml.rels><Relationships xmlns="http://schemas.openxmlformats.org/package/2006/relationships"><Relationship Type="http://schemas.openxmlformats.org/officeDocument/2006/relationships/hyperlink" Target="https://www.flir.com/browse/professional-tools/thermography-software/" TargetMode="External" Id="rId1" /><Relationship Type="http://schemas.openxmlformats.org/officeDocument/2006/relationships/hyperlink" Target="https://www.mentor.com/products/mechanical/floefd/" TargetMode="External" Id="rId2" /><Relationship Type="http://schemas.openxmlformats.org/officeDocument/2006/relationships/hyperlink" Target="https://www.fortresgrand.com/products/f101/f101.htm" TargetMode="External" Id="rId3" /><Relationship Type="http://schemas.openxmlformats.org/officeDocument/2006/relationships/hyperlink" Target="https://www.pqsystems.com/quality-solutions/gage-management/GAGEpack/" TargetMode="External" Id="rId4" /><Relationship Type="http://schemas.openxmlformats.org/officeDocument/2006/relationships/hyperlink" Target="https://www.edax.com/products/eds/spectrum-match" TargetMode="External" Id="rId5" /><Relationship Type="http://schemas.openxmlformats.org/officeDocument/2006/relationships/hyperlink" Target="https://www.gravograph.us/products-and-consumables/products/cad-and-cam-software-for-engraving/gravostyle-laserstyle" TargetMode="External" Id="rId6" /><Relationship Type="http://schemas.openxmlformats.org/officeDocument/2006/relationships/hyperlink" Target="http://heliossoftware.com/" TargetMode="External" Id="rId7" /><Relationship Type="http://schemas.openxmlformats.org/officeDocument/2006/relationships/hyperlink" Target="https://www.icare.com/" TargetMode="External" Id="rId8" /><Relationship Type="http://schemas.openxmlformats.org/officeDocument/2006/relationships/hyperlink" Target="https://www.licor.com/bio/image-studio/" TargetMode="External" Id="rId9" /><Relationship Type="http://schemas.openxmlformats.org/officeDocument/2006/relationships/hyperlink" Target="https://imagej.nih.gov/ij/" TargetMode="External" Id="rId10" /><Relationship Type="http://schemas.openxmlformats.org/officeDocument/2006/relationships/hyperlink" Target="https://integralife-my.sharepoint.com/Azure/Integra%20Mobile%20Sales%20App/Forms/AllItems.aspx" TargetMode="External" Id="rId11" /><Relationship Type="http://schemas.openxmlformats.org/officeDocument/2006/relationships/hyperlink" Target="https://www.oracle.com/technetwork/java/javase/overview/runtime-win32-139627.html" TargetMode="External" Id="rId12" /><Relationship Type="http://schemas.openxmlformats.org/officeDocument/2006/relationships/hyperlink" Target="https://www.kallik.com/" TargetMode="External" Id="rId13" /><Relationship Type="http://schemas.openxmlformats.org/officeDocument/2006/relationships/hyperlink" Target="https://www.kallik.com/" TargetMode="External" Id="rId14" /><Relationship Type="http://schemas.openxmlformats.org/officeDocument/2006/relationships/hyperlink" Target="https://hotkilns.com/kiln-interface-datalogger-software-system" TargetMode="External" Id="rId15" /><Relationship Type="http://schemas.openxmlformats.org/officeDocument/2006/relationships/hyperlink" Target="https://www.loftware.com/" TargetMode="External" Id="rId16" /><Relationship Type="http://schemas.openxmlformats.org/officeDocument/2006/relationships/hyperlink" Target="https://www.loftware.com/" TargetMode="External" Id="rId17" /><Relationship Type="http://schemas.openxmlformats.org/officeDocument/2006/relationships/hyperlink" Target="https://ima.it/pharma/lab4life/lyophilization-process-lab/" TargetMode="External" Id="rId18" /><Relationship Type="http://schemas.openxmlformats.org/officeDocument/2006/relationships/hyperlink" Target="https://lrn.com/" TargetMode="External" Id="rId19" /><Relationship Type="http://schemas.openxmlformats.org/officeDocument/2006/relationships/hyperlink" Target="https://www.beckman.com/particle-characterization/ls-13-320-xr/software" TargetMode="External" Id="rId20" /><Relationship Type="http://schemas.openxmlformats.org/officeDocument/2006/relationships/hyperlink" Target="https://www.spscientific.com/Products/Freeze_Dryers_/_Lyophilizers/FTS_Systems/Floor_Model_Tray/Pilot_Lyophilizers/SMART_Freeze_Drying/" TargetMode="External" Id="rId21" /><Relationship Type="http://schemas.openxmlformats.org/officeDocument/2006/relationships/hyperlink" Target="https://www.mathworks.com/products/matlab.html" TargetMode="External" Id="rId22" /><Relationship Type="http://schemas.openxmlformats.org/officeDocument/2006/relationships/hyperlink" Target="https://www.ibm.com/products/maximo" TargetMode="External" Id="rId23" /><Relationship Type="http://schemas.openxmlformats.org/officeDocument/2006/relationships/hyperlink" Target="https://telesis.com/merlin-proprietary-software/" TargetMode="External" Id="rId24" /><Relationship Type="http://schemas.openxmlformats.org/officeDocument/2006/relationships/hyperlink" Target="https://integralife-my.sharepoint.com/Azure/MoveMedical/Forms/AllItems.aspx" TargetMode="External" Id="rId25" /><Relationship Type="http://schemas.openxmlformats.org/officeDocument/2006/relationships/hyperlink" Target="http://www.multi-dnc.com/products_MultiDNC.php" TargetMode="External" Id="rId26" /><Relationship Type="http://schemas.openxmlformats.org/officeDocument/2006/relationships/hyperlink" Target="https://integralife-my.sharepoint.com/personal/tracy.redondo/AppData/Local/Microsoft/Windows/INetCache/Content.Outlook/NC9XSFBU/nicelabel.com" TargetMode="External" Id="rId27" /><Relationship Type="http://schemas.openxmlformats.org/officeDocument/2006/relationships/hyperlink" Target="https://www.thermofisher.com/order/catalog/product/INQSOF018" TargetMode="External" Id="rId28" /><Relationship Type="http://schemas.openxmlformats.org/officeDocument/2006/relationships/hyperlink" Target="https://www.millrocktech.com/optidry-freeze-drying-control-system/" TargetMode="External" Id="rId29" /><Relationship Type="http://schemas.openxmlformats.org/officeDocument/2006/relationships/hyperlink" Target="https://integralife-my.sharepoint.com/personal/tracy.redondo/AppData/Local/Microsoft/Windows/INetCache/Content.Outlook/NC9XSFBU/oracle.com/applications/ebusiness" TargetMode="External" Id="rId30" /><Relationship Type="http://schemas.openxmlformats.org/officeDocument/2006/relationships/hyperlink" Target="https://www.sap.com/products/bpc.html" TargetMode="External" Id="rId31" /><Relationship Type="http://schemas.openxmlformats.org/officeDocument/2006/relationships/hyperlink" Target="https://www.kofax.com/Products/paperport" TargetMode="External" Id="rId32" /><Relationship Type="http://schemas.openxmlformats.org/officeDocument/2006/relationships/hyperlink" Target="https://www.parasoft.com/products/ctest" TargetMode="External" Id="rId33" /><Relationship Type="http://schemas.openxmlformats.org/officeDocument/2006/relationships/hyperlink" Target="https://integralife-my.sharepoint.com/personal/tracy.redondo/AppData/Local/Microsoft/Windows/INetCache/Content.Outlook/NC9XSFBU/parasoft.com/products/insure" TargetMode="External" Id="rId34" /><Relationship Type="http://schemas.openxmlformats.org/officeDocument/2006/relationships/hyperlink" Target="https://www.hexagonmi.com/products/software/pc-dmis" TargetMode="External" Id="rId35" /><Relationship Type="http://schemas.openxmlformats.org/officeDocument/2006/relationships/hyperlink" Target="https://www.pdfforge.org/pdfcreator" TargetMode="External" Id="rId36" /><Relationship Type="http://schemas.openxmlformats.org/officeDocument/2006/relationships/hyperlink" Target="https://integralife-my.sharepoint.com/personal/tracy.redondo/AppData/Local/Microsoft/Windows/INetCache/Content.Outlook/NC9XSFBU/photron.com/software-downloads" TargetMode="External" Id="rId37" /><Relationship Type="http://schemas.openxmlformats.org/officeDocument/2006/relationships/hyperlink" Target="https://integralife-my.sharepoint.com/personal/tracy.redondo/AppData/Local/Microsoft/Windows/INetCache/Content.Outlook/NC9XSFBU/camasoftware.com" TargetMode="External" Id="rId38" /><Relationship Type="http://schemas.openxmlformats.org/officeDocument/2006/relationships/hyperlink" Target="https://shop.mitutoyo.eu/web/mitutoyo/en_NL/mitutoyo/Software%20for%20Quick%20Vision%20Multisensor%20Systems/QVPAK/PR/QVPAK/index.xhtml" TargetMode="External" Id="rId39" /><Relationship Type="http://schemas.openxmlformats.org/officeDocument/2006/relationships/hyperlink" Target="https://integralife-my.sharepoint.com/Azure/ML4ImageAnal/Forms/AllItems.aspx" TargetMode="External" Id="rId40" /><Relationship Type="http://schemas.openxmlformats.org/officeDocument/2006/relationships/hyperlink" Target="https://rapidsvn.org/" TargetMode="External" Id="rId41" /><Relationship Type="http://schemas.openxmlformats.org/officeDocument/2006/relationships/hyperlink" Target="https://www.renishaw.com/en/ballbar-20-for-qc20-w-and-qc10--11076" TargetMode="External" Id="rId42" /><Relationship Type="http://schemas.openxmlformats.org/officeDocument/2006/relationships/hyperlink" Target="https://integralife-my.sharepoint.com/personal/tracy.redondo/AppData/Local/Microsoft/Windows/INetCache/Content.Outlook/NC9XSFBU/sage.com/en-us/products/sage-300" TargetMode="External" Id="rId43" /><Relationship Type="http://schemas.openxmlformats.org/officeDocument/2006/relationships/hyperlink" Target="https://www.htk.de/produkte/sage/" TargetMode="External" Id="rId44" /><Relationship Type="http://schemas.openxmlformats.org/officeDocument/2006/relationships/hyperlink" Target="https://www.sagekhk.net/" TargetMode="External" Id="rId45" /><Relationship Type="http://schemas.openxmlformats.org/officeDocument/2006/relationships/hyperlink" Target="https://scion-image.software.informer.com/4.0/" TargetMode="External" Id="rId46" /><Relationship Type="http://schemas.openxmlformats.org/officeDocument/2006/relationships/hyperlink" Target="https://www.instron.us/en-us/service-and-support/technical-support/faqs/series-ix-software-faqs?region=North%20America" TargetMode="External" Id="rId47" /><Relationship Type="http://schemas.openxmlformats.org/officeDocument/2006/relationships/hyperlink" Target="https://www.smartsvn.com/" TargetMode="External" Id="rId48" /><Relationship Type="http://schemas.openxmlformats.org/officeDocument/2006/relationships/hyperlink" Target="https://www.moleculardevices.com/products/microplate-readers/acquisition-and-analysis-software/softmax-pro-software" TargetMode="External" Id="rId49" /><Relationship Type="http://schemas.openxmlformats.org/officeDocument/2006/relationships/hyperlink" Target="https://www.mt.com/us/en/home/products/Laboratory_Analytics_Browse/TA_Family_Browse/TA_software_browse/STARe_Base_Software_1.html" TargetMode="External" Id="rId50" /><Relationship Type="http://schemas.openxmlformats.org/officeDocument/2006/relationships/hyperlink" Target="https://integralife-my.sharepoint.com/personal/tracy.redondo/AppData/Local/Microsoft/Windows/INetCache/Content.Outlook/NC9XSFBU/olympus-ims.com/en/microscope/stream2" TargetMode="External" Id="rId51" /><Relationship Type="http://schemas.openxmlformats.org/officeDocument/2006/relationships/hyperlink" Target="https://subversion.apache.org/" TargetMode="External" Id="rId52" /><Relationship Type="http://schemas.openxmlformats.org/officeDocument/2006/relationships/hyperlink" Target="http://www.surething.com/" TargetMode="External" Id="rId53" /><Relationship Type="http://schemas.openxmlformats.org/officeDocument/2006/relationships/hyperlink" Target="https://www.perkinelmer.com/content/relatedmaterials/brochures/bro_totalchromworkstation.pdf" TargetMode="External" Id="rId54" /><Relationship Type="http://schemas.openxmlformats.org/officeDocument/2006/relationships/hyperlink" Target="https://www.uspnf.com/" TargetMode="External" Id="rId55" /><Relationship Type="http://schemas.openxmlformats.org/officeDocument/2006/relationships/hyperlink" Target="https://integralife-my.sharepoint.com/personal/tracy.redondo/AppData/Local/Microsoft/Windows/INetCache/Content.Outlook/NC9XSFBU/perkinelmer.com/product/kit-uvwinlab-v7-1-std-software-l6100127" TargetMode="External" Id="rId56" /><Relationship Type="http://schemas.openxmlformats.org/officeDocument/2006/relationships/hyperlink" Target="http://www.wincnc.net/index.php" TargetMode="External" Id="rId57" /><Relationship Type="http://schemas.openxmlformats.org/officeDocument/2006/relationships/hyperlink" Target="https://www.malvernpanalytical.com/en/products/product-range/zetasizer-range?creative=349942185544&amp;keyword=zetasizer&amp;matchtype=e&amp;network=g&amp;device=c&amp;gclid=CjwKCAiAhJTyBRAvEiwAln2qB18klBBxzh0kfGBvNx1_YY8Sr3WA9p6dcqUnHluRvN_1kQ0nN-acmBoCLAgQAvD_BwE" TargetMode="External" Id="rId58"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2:E33"/>
  <sheetViews>
    <sheetView workbookViewId="0">
      <selection activeCell="C5" sqref="C5"/>
    </sheetView>
  </sheetViews>
  <sheetFormatPr baseColWidth="8" defaultColWidth="10.83203125" defaultRowHeight="16"/>
  <cols>
    <col width="28.5" customWidth="1" style="145" min="2" max="2"/>
    <col width="36.33203125" customWidth="1" style="142" min="3" max="3"/>
    <col width="89.5" customWidth="1" style="148" min="4" max="4"/>
    <col width="49.5" customWidth="1" style="142" min="5" max="5"/>
  </cols>
  <sheetData>
    <row r="2">
      <c r="A2" s="27" t="n"/>
      <c r="B2" s="1" t="inlineStr">
        <is>
          <t>Capability</t>
        </is>
      </c>
      <c r="C2" s="16" t="inlineStr">
        <is>
          <t>Sub-capability</t>
        </is>
      </c>
      <c r="D2" s="16" t="inlineStr">
        <is>
          <t>Description</t>
        </is>
      </c>
      <c r="E2" s="16" t="inlineStr">
        <is>
          <t>Enabling Technologies</t>
        </is>
      </c>
    </row>
    <row r="3" ht="22.5" customHeight="1" s="142">
      <c r="A3" s="141" t="n">
        <v>1.1</v>
      </c>
      <c r="B3" s="144" t="inlineStr">
        <is>
          <t>Develop strategy (Formulate plans to guide business growth and competitive positioning in the medical technology sector)</t>
        </is>
      </c>
      <c r="C3" s="6" t="inlineStr">
        <is>
          <t>Set strategic priorities</t>
        </is>
      </c>
      <c r="D3" s="12" t="inlineStr">
        <is>
          <t>Identify key areas of focus to allocate resources effectively for achieving organizational goals</t>
        </is>
      </c>
      <c r="E3" s="7" t="n"/>
    </row>
    <row r="4" ht="22.5" customHeight="1" s="142">
      <c r="C4" s="6" t="inlineStr">
        <is>
          <t>Develop 5-year LRP’s &amp; 1-year AOP’s</t>
        </is>
      </c>
      <c r="D4" s="12" t="inlineStr">
        <is>
          <t>Craft long-term and annual plans that outline objectives, initiatives, and financial projections to drive business success</t>
        </is>
      </c>
      <c r="E4" s="7" t="n"/>
    </row>
    <row r="5" ht="26.15" customHeight="1" s="142">
      <c r="C5" s="6" t="inlineStr">
        <is>
          <t>Conduct M&amp;A</t>
        </is>
      </c>
      <c r="D5" s="12" t="inlineStr">
        <is>
          <t>Execute mergers and acquisitions to expand market presence, diversify product offerings, and enhance technological capabilities</t>
        </is>
      </c>
      <c r="E5" s="7" t="n"/>
    </row>
    <row r="6" ht="17.15" customHeight="1" s="142">
      <c r="A6" s="141" t="n">
        <v>1.2</v>
      </c>
      <c r="B6" s="144" t="inlineStr">
        <is>
          <t>Develop marketing plans (Design strategies to promote products and services, targeting specific markets and customer segments)</t>
        </is>
      </c>
      <c r="C6" s="3" t="inlineStr">
        <is>
          <t>Analyze market &amp; competitive landscape</t>
        </is>
      </c>
      <c r="D6" s="147" t="inlineStr">
        <is>
          <t>Assess the industry environment and competitors to identify opportunities and threats</t>
        </is>
      </c>
    </row>
    <row r="7" ht="29.15" customHeight="1" s="142">
      <c r="C7" s="3" t="inlineStr">
        <is>
          <t>Conduct market &amp; VOC research</t>
        </is>
      </c>
      <c r="D7" s="147" t="inlineStr">
        <is>
          <t>Gather insights from the market and customer feedback to inform product development and improve customer satisfaction</t>
        </is>
      </c>
      <c r="E7" s="3" t="inlineStr">
        <is>
          <t>Survey monkey</t>
        </is>
      </c>
    </row>
    <row r="8">
      <c r="C8" s="3" t="inlineStr">
        <is>
          <t>Develop portfolio &amp; brand-level tactics</t>
        </is>
      </c>
      <c r="D8" s="147" t="inlineStr">
        <is>
          <t>Create initiatives to strengthen product lines and brand recognition in the marketplace</t>
        </is>
      </c>
      <c r="E8" s="3" t="n"/>
    </row>
    <row r="9" ht="29.15" customHeight="1" s="142">
      <c r="C9" s="3" t="inlineStr">
        <is>
          <t>Develop 5–10-year product &amp; evidence roadmaps (WWPP)</t>
        </is>
      </c>
      <c r="D9" s="147" t="inlineStr">
        <is>
          <t>Plan long-term product development and supportive clinical evidence to meet future market needs and regulatory requirements</t>
        </is>
      </c>
      <c r="E9" s="3" t="n"/>
    </row>
    <row r="10" ht="24" customHeight="1" s="142">
      <c r="A10" s="143" t="n">
        <v>1.3</v>
      </c>
      <c r="B10" s="147" t="inlineStr">
        <is>
          <t>Develop products (Design, create, and refine products from concept to market-ready stage, focusing on innovation, quality, and customer needs)</t>
        </is>
      </c>
      <c r="C10" s="3" t="inlineStr">
        <is>
          <t>Translate VOC into design requirements</t>
        </is>
      </c>
      <c r="D10" s="147" t="inlineStr">
        <is>
          <t>Convert customer feedback into actionable product design specifications</t>
        </is>
      </c>
      <c r="E10" s="3" t="n"/>
    </row>
    <row r="11">
      <c r="C11" s="3" t="inlineStr">
        <is>
          <t>Build &amp; test product designs</t>
        </is>
      </c>
      <c r="D11" s="147" t="inlineStr">
        <is>
          <t>Create prototypes and conduct tests to ensure design specifications and user needs are met</t>
        </is>
      </c>
      <c r="E11" s="3" t="inlineStr">
        <is>
          <t>AutoCad, SolidWorks</t>
        </is>
      </c>
    </row>
    <row r="12" ht="29" customHeight="1" s="142">
      <c r="C12" s="3" t="inlineStr">
        <is>
          <t>Create product design history files</t>
        </is>
      </c>
      <c r="D12" s="147" t="inlineStr">
        <is>
          <t>Compile documentation for development, design decisions, and modifications for traceability and compliance</t>
        </is>
      </c>
      <c r="E12" s="3" t="n"/>
    </row>
    <row r="13">
      <c r="C13" s="3" t="inlineStr">
        <is>
          <t>Verify &amp; validate product designs</t>
        </is>
      </c>
      <c r="D13" s="147" t="inlineStr">
        <is>
          <t>Ensure design meets requirements and fulfills intended use in real-world conditions</t>
        </is>
      </c>
      <c r="E13" s="3" t="inlineStr">
        <is>
          <t>Oracle Agile</t>
        </is>
      </c>
    </row>
    <row r="14">
      <c r="C14" s="3" t="inlineStr">
        <is>
          <t>Transfer designs to manufacturing</t>
        </is>
      </c>
      <c r="D14" s="147" t="inlineStr">
        <is>
          <t>Handover finalized design specifications to manufacturing for large-scale production</t>
        </is>
      </c>
      <c r="E14" s="3" t="inlineStr">
        <is>
          <t>Oracle Agile</t>
        </is>
      </c>
    </row>
    <row r="15" ht="22.5" customHeight="1" s="142">
      <c r="C15" s="3" t="inlineStr">
        <is>
          <t>Launch new products</t>
        </is>
      </c>
      <c r="D15" s="147" t="inlineStr">
        <is>
          <t>Introduce new products to the market with marketing, distribution, and support plans</t>
        </is>
      </c>
      <c r="E15" s="9" t="n"/>
    </row>
    <row r="16" ht="29.15" customHeight="1" s="142">
      <c r="C16" s="3" t="inlineStr">
        <is>
          <t>Sustain product through lifecycle</t>
        </is>
      </c>
      <c r="D16" s="147" t="inlineStr">
        <is>
          <t>Manage and support products from launch to obsolescence, ensuring continued relevance, safety, and profitability in the market</t>
        </is>
      </c>
      <c r="E16" s="3" t="inlineStr">
        <is>
          <t>Oracle Agile, EBS</t>
        </is>
      </c>
    </row>
    <row r="17" ht="81" customHeight="1" s="142">
      <c r="A17" s="143" t="n">
        <v>1.4</v>
      </c>
      <c r="B17" s="147" t="inlineStr">
        <is>
          <t>Assure design quality (Ensure products meet high-quality standards during design and development by implementing rigorous review processes)</t>
        </is>
      </c>
      <c r="C17" s="3" t="inlineStr">
        <is>
          <t>Manage design control procedures</t>
        </is>
      </c>
      <c r="D17" s="147" t="inlineStr">
        <is>
          <t>Oversee structured methodologies for documenting and maintaining design changes to comply with regulatory requirements</t>
        </is>
      </c>
      <c r="E17" s="3" t="inlineStr">
        <is>
          <t>Valgenesis</t>
        </is>
      </c>
    </row>
    <row r="18" ht="29.15" customHeight="1" s="142">
      <c r="C18" s="3" t="inlineStr">
        <is>
          <t>Assure verification &amp; validation</t>
        </is>
      </c>
      <c r="D18" s="147" t="inlineStr">
        <is>
          <t>Confirm that products perform as intended and meet customer needs through systematic testing and analysis</t>
        </is>
      </c>
      <c r="E18" s="3" t="inlineStr">
        <is>
          <t>Valgenedis</t>
        </is>
      </c>
    </row>
    <row r="19" ht="29.15" customHeight="1" s="142">
      <c r="C19" s="3" t="inlineStr">
        <is>
          <t>Assure product standards</t>
        </is>
      </c>
      <c r="D19" s="147" t="inlineStr">
        <is>
          <t>Ensure products adhere to industry regulations and internal specifications for performance, safety, and quality</t>
        </is>
      </c>
      <c r="E19" s="3" t="inlineStr">
        <is>
          <t>Valgenedis</t>
        </is>
      </c>
    </row>
    <row r="20" ht="29.15" customHeight="1" s="142">
      <c r="A20" s="143" t="n">
        <v>1.5</v>
      </c>
      <c r="B20" s="144" t="inlineStr">
        <is>
          <t>Manage CMO (Perform studies and experiments to innovate and validate products)</t>
        </is>
      </c>
      <c r="C20" s="3" t="inlineStr">
        <is>
          <t>Manage medical affairs</t>
        </is>
      </c>
      <c r="D20" s="147" t="inlineStr">
        <is>
          <t>Coordinate medical strategies and communications to support product development and lifecycle management</t>
        </is>
      </c>
      <c r="E20" s="10" t="inlineStr">
        <is>
          <t>Cybergrant, ClinCapture, GRANT PLAN, SAS, Tika Mobile</t>
        </is>
      </c>
    </row>
    <row r="21" ht="29.15" customHeight="1" s="142">
      <c r="C21" s="3" t="inlineStr">
        <is>
          <t>Manage clinical operations</t>
        </is>
      </c>
      <c r="D21" s="147" t="inlineStr">
        <is>
          <t>Oversee the planning, execution, and management of clinical trials and related activities</t>
        </is>
      </c>
      <c r="E21" s="3" t="inlineStr">
        <is>
          <t>Veeva  Sparks &amp; Payment, Veeva CDMS, Veeva CTMS, Veeva RTMS, Clincapture</t>
        </is>
      </c>
    </row>
    <row r="22" ht="22.5" customHeight="1" s="142">
      <c r="C22" s="3" t="inlineStr">
        <is>
          <t>Ensure medical safety</t>
        </is>
      </c>
      <c r="D22" s="147" t="inlineStr">
        <is>
          <t>Monitor, assess, and manage the safety profile of medical products throughout their lifecycle</t>
        </is>
      </c>
      <c r="E22" s="9" t="n"/>
    </row>
    <row r="23">
      <c r="C23" s="3" t="inlineStr">
        <is>
          <t>Manage medical comms</t>
        </is>
      </c>
      <c r="D23" s="147" t="inlineStr">
        <is>
          <t>Develop and disseminate scientific and medical information to healthcare professionals and stakeholders</t>
        </is>
      </c>
      <c r="E23" s="3" t="inlineStr">
        <is>
          <t>Hubspot, MS Outlook</t>
        </is>
      </c>
    </row>
    <row r="24" ht="29.15" customHeight="1" s="142">
      <c r="A24" s="143" t="n">
        <v>1.6</v>
      </c>
      <c r="B24" s="144" t="inlineStr">
        <is>
          <t>Manage market access (Navigate regulatory and reimbursement environments to ensure products are available and approved for market distribution)</t>
        </is>
      </c>
      <c r="C24" s="2" t="inlineStr">
        <is>
          <t>Engage external stakeholders</t>
        </is>
      </c>
      <c r="D24" s="144" t="inlineStr">
        <is>
          <t>Build relationships with key industry players, including healthcare providers and regulatory bodies, to influence market entry and policy</t>
        </is>
      </c>
    </row>
    <row r="25">
      <c r="C25" s="3" t="inlineStr">
        <is>
          <t>Drive access &amp; adoption</t>
        </is>
      </c>
      <c r="D25" s="147" t="inlineStr">
        <is>
          <t>Implement strategies that facilitate product acceptance and integration into healthcare practices</t>
        </is>
      </c>
    </row>
    <row r="26" ht="29.15" customHeight="1" s="142">
      <c r="C26" s="3" t="inlineStr">
        <is>
          <t>Advise pricing based on reimbursement</t>
        </is>
      </c>
      <c r="D26" s="147" t="inlineStr">
        <is>
          <t>Recommend pricing strategies that align with insurance and payer reimbursement policies to optimize market reach and profitability</t>
        </is>
      </c>
    </row>
    <row r="27" ht="22.5" customHeight="1" s="142">
      <c r="A27" s="143" t="n">
        <v>1.7</v>
      </c>
      <c r="B27" s="146" t="inlineStr">
        <is>
          <t>Regulatory affairs (Navigate the landscape of regulations to ensure products meet necessary legal requirements for market entry and sustainability)</t>
        </is>
      </c>
      <c r="C27" s="3" t="inlineStr">
        <is>
          <t>Develop product regulatory strategy</t>
        </is>
      </c>
      <c r="D27" s="144" t="inlineStr">
        <is>
          <t>Formulate plans that outline pathways for gaining regulatory approval in various regions</t>
        </is>
      </c>
      <c r="E27" s="9" t="n"/>
    </row>
    <row r="28">
      <c r="C28" s="3" t="inlineStr">
        <is>
          <t>Regulatory intelligence &amp; standards</t>
        </is>
      </c>
      <c r="D28" s="147" t="inlineStr">
        <is>
          <t>Monitor and analyze regulatory changes and standards globally to inform compliance and strategy</t>
        </is>
      </c>
      <c r="E28" s="3" t="inlineStr">
        <is>
          <t>C2P, Nyquist AI</t>
        </is>
      </c>
    </row>
    <row r="29">
      <c r="C29" s="3" t="inlineStr">
        <is>
          <t>Maintain global regulatory compliance</t>
        </is>
      </c>
      <c r="D29" s="147" t="inlineStr">
        <is>
          <t>Ensure products consistently meet international regulatory requirements throughout their lifecycle</t>
        </is>
      </c>
      <c r="E29" s="3" t="inlineStr">
        <is>
          <t>Veeva RIMS</t>
        </is>
      </c>
    </row>
    <row r="30" ht="32.25" customHeight="1" s="142">
      <c r="C30" s="3" t="inlineStr">
        <is>
          <t>Evaluate &amp; approve manufacturing changes</t>
        </is>
      </c>
      <c r="D30" s="147" t="inlineStr">
        <is>
          <t>Assess and authorize modifications in production processes to maintain compliance and product integrity</t>
        </is>
      </c>
      <c r="E30" s="3" t="inlineStr">
        <is>
          <t>Oracle Agile</t>
        </is>
      </c>
    </row>
    <row r="31" ht="29.15" customHeight="1" s="142">
      <c r="C31" s="3" t="inlineStr">
        <is>
          <t>Manage submissions &amp; registrations</t>
        </is>
      </c>
      <c r="D31" s="147" t="inlineStr">
        <is>
          <t>Oversee the preparation and submission of documents required for product approval and registration across markets</t>
        </is>
      </c>
      <c r="E31" s="3" t="inlineStr">
        <is>
          <t>Veeva RIMS</t>
        </is>
      </c>
    </row>
    <row r="32">
      <c r="C32" s="3" t="inlineStr">
        <is>
          <t>Advise &amp; approve labeling</t>
        </is>
      </c>
      <c r="D32" s="147" t="inlineStr">
        <is>
          <t>Ensure product labels meet regulatory standards and communicate necessary information accurately</t>
        </is>
      </c>
      <c r="E32" s="3" t="inlineStr">
        <is>
          <t>Kallik</t>
        </is>
      </c>
    </row>
    <row r="33" ht="29.15" customHeight="1" s="142">
      <c r="C33" s="3" t="inlineStr">
        <is>
          <t>Manage UDI’s</t>
        </is>
      </c>
      <c r="D33" s="147" t="inlineStr">
        <is>
          <t>Oversee the implementation and maintenance of Unique Device Identifiers to comply with tracking and traceability regulations</t>
        </is>
      </c>
      <c r="E33" s="3" t="inlineStr">
        <is>
          <t>Oracle Agile, Veeva RIMS</t>
        </is>
      </c>
    </row>
  </sheetData>
  <mergeCells count="14">
    <mergeCell ref="A27:A33"/>
    <mergeCell ref="B17:B19"/>
    <mergeCell ref="B10:B16"/>
    <mergeCell ref="A17:A19"/>
    <mergeCell ref="B20:B23"/>
    <mergeCell ref="A6:A9"/>
    <mergeCell ref="A3:A5"/>
    <mergeCell ref="B6:B9"/>
    <mergeCell ref="A20:A23"/>
    <mergeCell ref="A24:A26"/>
    <mergeCell ref="A10:A16"/>
    <mergeCell ref="B24:B26"/>
    <mergeCell ref="B27:B33"/>
    <mergeCell ref="B3:B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E34"/>
  <sheetViews>
    <sheetView topLeftCell="D1" zoomScale="101" workbookViewId="0">
      <selection activeCell="E33" sqref="E33"/>
    </sheetView>
  </sheetViews>
  <sheetFormatPr baseColWidth="8" defaultColWidth="10.83203125" defaultRowHeight="16"/>
  <cols>
    <col width="10.83203125" customWidth="1" style="148" min="1" max="1"/>
    <col width="28.5" customWidth="1" style="148" min="2" max="2"/>
    <col width="36.33203125" customWidth="1" style="148" min="3" max="3"/>
    <col width="89.5" customWidth="1" style="148" min="4" max="4"/>
    <col width="49.5" customWidth="1" style="148" min="5" max="5"/>
    <col width="10.83203125" customWidth="1" style="148" min="6" max="6"/>
    <col width="10.83203125" customWidth="1" style="148" min="7" max="16384"/>
  </cols>
  <sheetData>
    <row r="2" ht="22.5" customHeight="1" s="142">
      <c r="A2" s="4" t="n"/>
      <c r="B2" s="16" t="inlineStr">
        <is>
          <t>Capability</t>
        </is>
      </c>
      <c r="C2" s="5" t="inlineStr">
        <is>
          <t>Sub-capability</t>
        </is>
      </c>
      <c r="D2" s="5" t="inlineStr">
        <is>
          <t>Description</t>
        </is>
      </c>
      <c r="E2" s="5" t="inlineStr">
        <is>
          <t>Enabling Technologies</t>
        </is>
      </c>
    </row>
    <row r="3" ht="29.15" customHeight="1" s="142">
      <c r="A3" s="149" t="n">
        <v>2.1</v>
      </c>
      <c r="B3" s="144" t="inlineStr">
        <is>
          <t>Plan supply chain (Strategize and organize the flow of goods, information, and resources from suppliers to customers to optimize efficiency and meet demand)</t>
        </is>
      </c>
      <c r="C3" s="144" t="inlineStr">
        <is>
          <t>Develop demand plans</t>
        </is>
      </c>
      <c r="D3" s="144" t="inlineStr">
        <is>
          <t>Forecast customer demand and align production and inventory strategies to meet anticipated market needs</t>
        </is>
      </c>
      <c r="E3" s="144" t="inlineStr">
        <is>
          <t>ASCP, Demand Planning</t>
        </is>
      </c>
    </row>
    <row r="4" ht="66" customHeight="1" s="142">
      <c r="C4" s="147" t="inlineStr">
        <is>
          <t>Develop supply plans</t>
        </is>
      </c>
      <c r="D4" s="21" t="inlineStr">
        <is>
          <t>Create strategies to ensure adequate procurement and distribution of resources, matching supply levels with anticipated demand</t>
        </is>
      </c>
      <c r="E4" s="21" t="inlineStr">
        <is>
          <t>ASCP</t>
        </is>
      </c>
    </row>
    <row r="5">
      <c r="A5" s="149" t="n">
        <v>2.2</v>
      </c>
      <c r="B5" s="144" t="inlineStr">
        <is>
          <t>Procure supplies (Oversee vendor selection and agreement processes to acquire necessary goods and services)</t>
        </is>
      </c>
      <c r="C5" s="3" t="inlineStr">
        <is>
          <t>Source direct materials</t>
        </is>
      </c>
      <c r="D5" s="3" t="inlineStr">
        <is>
          <t>Directly obtain materials and components required for production from selected vendors</t>
        </is>
      </c>
      <c r="E5" s="3" t="inlineStr">
        <is>
          <t>Oracle EBS</t>
        </is>
      </c>
    </row>
    <row r="6">
      <c r="C6" s="3" t="inlineStr">
        <is>
          <t>Manage purchasing</t>
        </is>
      </c>
      <c r="D6" s="3" t="inlineStr">
        <is>
          <t>Execute buying activities, including order placement and transaction management with suppliers</t>
        </is>
      </c>
      <c r="E6" s="3" t="inlineStr">
        <is>
          <t>Oracle EBS</t>
        </is>
      </c>
    </row>
    <row r="7" ht="29.15" customHeight="1" s="142">
      <c r="C7" s="3" t="inlineStr">
        <is>
          <t>Manage indirect procurement</t>
        </is>
      </c>
      <c r="D7" s="3" t="inlineStr">
        <is>
          <t>Handle acquisition of goods and services not directly involved in production, such as office supplies and utilities</t>
        </is>
      </c>
      <c r="E7" s="22" t="inlineStr">
        <is>
          <t>SAP Fieldglass , Oracle EBS</t>
        </is>
      </c>
    </row>
    <row r="8">
      <c r="C8" s="3" t="inlineStr">
        <is>
          <t>Manage supplier relationships</t>
        </is>
      </c>
      <c r="D8" s="3" t="inlineStr">
        <is>
          <t>Foster and maintain effective and strategic partnerships with vendors to ensure service quality and reliability</t>
        </is>
      </c>
      <c r="E8" s="3" t="inlineStr">
        <is>
          <t>Oracle EBS</t>
        </is>
      </c>
    </row>
    <row r="9">
      <c r="C9" s="3" t="inlineStr">
        <is>
          <t>Manage spend categories</t>
        </is>
      </c>
      <c r="D9" s="3" t="inlineStr">
        <is>
          <t>Organize and evaluate expenditures to optimize cost efficiency across different procurement segments</t>
        </is>
      </c>
      <c r="E9" s="3" t="inlineStr">
        <is>
          <t>Oracle EBS/Power BI</t>
        </is>
      </c>
    </row>
    <row r="10" ht="69" customHeight="1" s="142">
      <c r="A10" s="149" t="n">
        <v>2.3</v>
      </c>
      <c r="B10" s="146" t="inlineStr">
        <is>
          <t>Operate plants (Run production facilities efficiently to meet manufacturing goals and standards)</t>
        </is>
      </c>
      <c r="C10" s="3" t="inlineStr">
        <is>
          <t>Manage &amp; train labor</t>
        </is>
      </c>
      <c r="D10" s="3" t="inlineStr">
        <is>
          <t>Oversee workforce development and skill enhancement to ensure operational efficiency and safety</t>
        </is>
      </c>
      <c r="E10" s="3" t="inlineStr">
        <is>
          <t>Workday</t>
        </is>
      </c>
    </row>
    <row r="11">
      <c r="C11" s="3" t="inlineStr">
        <is>
          <t>Transact &amp; purchase goods &amp; services</t>
        </is>
      </c>
      <c r="D11" s="3" t="inlineStr">
        <is>
          <t>Handle sourcing activities to acquire necessary supplies and services for plant operations</t>
        </is>
      </c>
      <c r="E11" s="3" t="inlineStr">
        <is>
          <t>Oracle EBS</t>
        </is>
      </c>
    </row>
    <row r="12" ht="29.15" customHeight="1" s="142">
      <c r="C12" s="3" t="inlineStr">
        <is>
          <t>Manage raw materials &amp; WIP inventories</t>
        </is>
      </c>
      <c r="D12" s="3" t="inlineStr">
        <is>
          <t>Control inventories of raw materials and work-in-progress to meet production demands while minimizing waste</t>
        </is>
      </c>
      <c r="E12" s="3" t="inlineStr">
        <is>
          <t>Oracle EBS</t>
        </is>
      </c>
    </row>
    <row r="13">
      <c r="C13" s="3" t="inlineStr">
        <is>
          <t>Manufacture &amp; package products</t>
        </is>
      </c>
      <c r="D13" s="3" t="inlineStr">
        <is>
          <t>Execute production processes to create and package products according to specifications</t>
        </is>
      </c>
      <c r="E13" s="3" t="inlineStr">
        <is>
          <t>Oracle EBS</t>
        </is>
      </c>
    </row>
    <row r="14">
      <c r="C14" s="3" t="inlineStr">
        <is>
          <t>Maintain equipment &amp; tooling</t>
        </is>
      </c>
      <c r="D14" s="3" t="inlineStr">
        <is>
          <t>Ensure machinery and tools are kept in optimal working condition through regular maintenance and repairs</t>
        </is>
      </c>
      <c r="E14" s="3" t="inlineStr">
        <is>
          <t>Oracle EAM/CMMS Blue Montain</t>
        </is>
      </c>
    </row>
    <row r="15" ht="22.5" customHeight="1" s="142">
      <c r="C15" s="3" t="inlineStr">
        <is>
          <t>Maintain plant infrastructure</t>
        </is>
      </c>
      <c r="D15" s="3" t="inlineStr">
        <is>
          <t>Uphold the physical integrity and functionality of the facility through maintenance and upgrades</t>
        </is>
      </c>
      <c r="E15" s="9" t="n"/>
    </row>
    <row r="16" ht="22.5" customHeight="1" s="142">
      <c r="C16" s="3" t="inlineStr">
        <is>
          <t>Coordinate sterilization</t>
        </is>
      </c>
      <c r="D16" s="3" t="inlineStr">
        <is>
          <t>Organize and monitor 3rd party sterilization procedures to meet hygiene and safety standards</t>
        </is>
      </c>
      <c r="E16" s="9" t="n"/>
    </row>
    <row r="17" ht="22.5" customHeight="1" s="142">
      <c r="C17" s="3" t="inlineStr">
        <is>
          <t>Manage plant continuous improvement</t>
        </is>
      </c>
      <c r="D17" s="26" t="inlineStr">
        <is>
          <t>Lead initiatives to enhance operational efficiency, reduce costs, and improve product quality</t>
        </is>
      </c>
      <c r="E17" s="9" t="n"/>
    </row>
    <row r="18" ht="22.5" customHeight="1" s="142">
      <c r="A18" s="149" t="n">
        <v>2.4</v>
      </c>
      <c r="B18" s="144" t="inlineStr">
        <is>
          <t>Assure product quality (Ensure products consistently meet quality standards and customer expectations through rigorous testing and monitoring)</t>
        </is>
      </c>
      <c r="C18" s="3" t="inlineStr">
        <is>
          <t>Manage product risk</t>
        </is>
      </c>
      <c r="D18" s="3" t="inlineStr">
        <is>
          <t>Identify and mitigate potential risks associated with products to ensure safety and compliance</t>
        </is>
      </c>
      <c r="E18" s="9" t="n"/>
    </row>
    <row r="19" ht="29.15" customHeight="1" s="142">
      <c r="C19" s="3" t="inlineStr">
        <is>
          <t>Control product change</t>
        </is>
      </c>
      <c r="D19" s="3" t="inlineStr">
        <is>
          <t>Oversee changes to product design and manufacturing processes to maintain quality and regulatory compliance</t>
        </is>
      </c>
      <c r="E19" s="3" t="inlineStr">
        <is>
          <t>Oracle Agile, EBS, baldness</t>
        </is>
      </c>
    </row>
    <row r="20" ht="22.5" customHeight="1" s="142">
      <c r="C20" s="3" t="inlineStr">
        <is>
          <t>Assure performance &amp; reliability</t>
        </is>
      </c>
      <c r="D20" s="3" t="inlineStr">
        <is>
          <t>Verify that products function as intended and maintain reliability over their lifespan</t>
        </is>
      </c>
      <c r="E20" s="9" t="n"/>
    </row>
    <row r="21" ht="29" customHeight="1" s="142">
      <c r="C21" s="3" t="inlineStr">
        <is>
          <t>Maintain product design history files</t>
        </is>
      </c>
      <c r="D21" s="3" t="inlineStr">
        <is>
          <t>Keep comprehensive records of design and development processes to support compliance and transparency</t>
        </is>
      </c>
      <c r="E21" s="3" t="inlineStr">
        <is>
          <t>Oracle Agile</t>
        </is>
      </c>
    </row>
    <row r="22" ht="22.5" customHeight="1" s="142">
      <c r="C22" s="3" t="inlineStr">
        <is>
          <t>Assure sterilization</t>
        </is>
      </c>
      <c r="D22" s="3" t="inlineStr">
        <is>
          <t>Guarantee that sterilization processes meet industry and regulatory standards to ensure product safety</t>
        </is>
      </c>
      <c r="E22" s="9" t="n"/>
    </row>
    <row r="23">
      <c r="C23" s="3" t="inlineStr">
        <is>
          <t>Assure product labeling</t>
        </is>
      </c>
      <c r="D23" s="3" t="inlineStr">
        <is>
          <t>Ensure labels accurately reflect product specifications and comply with regulatory requirements</t>
        </is>
      </c>
      <c r="E23" s="3" t="inlineStr">
        <is>
          <t>Kallik</t>
        </is>
      </c>
    </row>
    <row r="24">
      <c r="C24" s="3" t="inlineStr">
        <is>
          <t>Release products</t>
        </is>
      </c>
      <c r="D24" s="3" t="inlineStr">
        <is>
          <t>Authorize the distribution of products to market after confirming they meet all quality and safety standards</t>
        </is>
      </c>
      <c r="E24" s="3" t="inlineStr">
        <is>
          <t>Veeva RIMS, Oracle EBS</t>
        </is>
      </c>
    </row>
    <row r="25" ht="69" customHeight="1" s="142">
      <c r="A25" s="149" t="n">
        <v>2.5</v>
      </c>
      <c r="B25" s="150" t="inlineStr">
        <is>
          <t>Maintain quality compliance (Ensure adherence to regulatory and industry standards throughout the product lifecycle)</t>
        </is>
      </c>
      <c r="C25" s="3" t="inlineStr">
        <is>
          <t>Develop quality plans</t>
        </is>
      </c>
      <c r="D25" s="3" t="inlineStr">
        <is>
          <t>Create strategies to uphold quality objectives and meet compliance requirements for all processes</t>
        </is>
      </c>
      <c r="E25" s="3" t="inlineStr">
        <is>
          <t>Oracle Agile, EBS</t>
        </is>
      </c>
    </row>
    <row r="26" ht="22.5" customHeight="1" s="142">
      <c r="C26" s="3" t="inlineStr">
        <is>
          <t>Validate engineering</t>
        </is>
      </c>
      <c r="D26" s="3" t="inlineStr">
        <is>
          <t>Confirm engineering outputs meet design requirements and function correctly through systematic testing</t>
        </is>
      </c>
      <c r="E26" s="9" t="n"/>
    </row>
    <row r="27" ht="29.15" customHeight="1" s="142">
      <c r="C27" s="3" t="inlineStr">
        <is>
          <t>Manage document controls</t>
        </is>
      </c>
      <c r="D27" s="3" t="inlineStr">
        <is>
          <t>Oversee the organization and secure management of quality documentation to ensure accuracy and traceability</t>
        </is>
      </c>
      <c r="E27" s="3" t="inlineStr">
        <is>
          <t>Oracle Agile</t>
        </is>
      </c>
    </row>
    <row r="28" ht="29.15" customHeight="1" s="142">
      <c r="C28" s="3" t="inlineStr">
        <is>
          <t>Conduct internal &amp; external audits</t>
        </is>
      </c>
      <c r="D28" s="3" t="inlineStr">
        <is>
          <t>Perform evaluations to assess compliance and identify areas for improvement within internal processes and with external partners</t>
        </is>
      </c>
      <c r="E28" s="3" t="inlineStr">
        <is>
          <t>Trackwise Digital (Internal)</t>
        </is>
      </c>
    </row>
    <row r="29" ht="29.15" customHeight="1" s="142">
      <c r="C29" s="3" t="inlineStr">
        <is>
          <t>Track non-conformances &amp; CAPA’s</t>
        </is>
      </c>
      <c r="D29" s="3" t="inlineStr">
        <is>
          <t>Monitor deviations from quality standards and implement corrective and preventive actions to resolve issues</t>
        </is>
      </c>
      <c r="E29" s="3" t="inlineStr">
        <is>
          <t>ETQ , Trackwise Digital</t>
        </is>
      </c>
    </row>
    <row r="30">
      <c r="C30" s="3" t="inlineStr">
        <is>
          <t>Manage supplier quality</t>
        </is>
      </c>
      <c r="D30" s="3" t="inlineStr">
        <is>
          <t>Evaluate and improve supplier performance to ensure incoming materials meet quality specifications</t>
        </is>
      </c>
      <c r="E30" s="3" t="inlineStr">
        <is>
          <t>Trackwise Digital (future)</t>
        </is>
      </c>
    </row>
    <row r="31" ht="29.15" customHeight="1" s="142">
      <c r="C31" s="3" t="inlineStr">
        <is>
          <t>Review quality management</t>
        </is>
      </c>
      <c r="D31" s="3" t="inlineStr">
        <is>
          <t>Regularly assess and enhance quality management systems to drive continuous improvement and operational excellence</t>
        </is>
      </c>
      <c r="E31" s="3" t="inlineStr">
        <is>
          <t>MiniTab</t>
        </is>
      </c>
    </row>
    <row r="32" ht="29.15" customHeight="1" s="142">
      <c r="A32" s="149" t="n">
        <v>2.6</v>
      </c>
      <c r="B32" s="151" t="inlineStr">
        <is>
          <t>Distribute products (Organize and oversee the delivery of goods from production sites to end customers, ensuring timely and efficient distribution)</t>
        </is>
      </c>
      <c r="C32" s="3" t="inlineStr">
        <is>
          <t>Manage global inventories</t>
        </is>
      </c>
      <c r="D32" s="3" t="inlineStr">
        <is>
          <t>Track and optimize inventory levels worldwide, balancing supply and demand while minimizing costs and shortages</t>
        </is>
      </c>
      <c r="E32" s="3" t="inlineStr">
        <is>
          <t>Oracle EBS, Trading Partner Platform</t>
        </is>
      </c>
    </row>
    <row r="33" ht="29.15" customHeight="1" s="142">
      <c r="C33" s="3" t="inlineStr">
        <is>
          <t>Manage trade compliance</t>
        </is>
      </c>
      <c r="D33" s="3" t="inlineStr">
        <is>
          <t>Ensure adherence to international trade regulations and policies, facilitating smooth cross-border transactions</t>
        </is>
      </c>
      <c r="E33" s="3" t="inlineStr">
        <is>
          <t>Oracle GTM/OTM</t>
        </is>
      </c>
    </row>
    <row r="34" ht="29.15" customHeight="1" s="142">
      <c r="C34" s="3" t="inlineStr">
        <is>
          <t>Manage 3PL providers</t>
        </is>
      </c>
      <c r="D34" s="3" t="inlineStr">
        <is>
          <t>Oversee third-party logistics providers to ensure efficient and effective outsourcing of logistics and supply chain functions</t>
        </is>
      </c>
      <c r="E34" s="3" t="inlineStr">
        <is>
          <t>Oracle EBS, Oracle SOA Suite 12c</t>
        </is>
      </c>
    </row>
  </sheetData>
  <mergeCells count="12">
    <mergeCell ref="B10:B17"/>
    <mergeCell ref="B18:B24"/>
    <mergeCell ref="A25:A31"/>
    <mergeCell ref="A5:A9"/>
    <mergeCell ref="A3:A4"/>
    <mergeCell ref="B3:B4"/>
    <mergeCell ref="B25:B31"/>
    <mergeCell ref="A10:A17"/>
    <mergeCell ref="A32:A34"/>
    <mergeCell ref="A18:A24"/>
    <mergeCell ref="B32:B34"/>
    <mergeCell ref="B5:B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E39"/>
  <sheetViews>
    <sheetView topLeftCell="XEQ22" workbookViewId="0">
      <selection activeCell="XFD37" sqref="XFD37"/>
    </sheetView>
  </sheetViews>
  <sheetFormatPr baseColWidth="8" defaultColWidth="10.83203125" defaultRowHeight="16"/>
  <cols>
    <col width="10.83203125" customWidth="1" style="153" min="1" max="1"/>
    <col width="28.5" customWidth="1" style="142" min="2" max="2"/>
    <col width="36.33203125" customWidth="1" style="142" min="3" max="3"/>
    <col width="89.5" customWidth="1" style="142" min="4" max="4"/>
    <col width="49.5" customWidth="1" style="142" min="5" max="5"/>
  </cols>
  <sheetData>
    <row r="2" customFormat="1" s="24">
      <c r="A2" s="25" t="n"/>
      <c r="B2" s="23" t="inlineStr">
        <is>
          <t>Capability</t>
        </is>
      </c>
      <c r="C2" s="23" t="inlineStr">
        <is>
          <t>Sub-capability</t>
        </is>
      </c>
      <c r="D2" s="23" t="inlineStr">
        <is>
          <t>Description</t>
        </is>
      </c>
      <c r="E2" s="23" t="inlineStr">
        <is>
          <t>Enabling Technologies</t>
        </is>
      </c>
    </row>
    <row r="3">
      <c r="A3" s="143" t="n">
        <v>3.1</v>
      </c>
      <c r="B3" s="152" t="inlineStr">
        <is>
          <t>Conduct marketing &amp; communications (Develop and implement communication strategies to promote brand awareness and consumer engagement)</t>
        </is>
      </c>
      <c r="C3" s="154" t="inlineStr">
        <is>
          <t>Host corporate events</t>
        </is>
      </c>
      <c r="D3" s="154" t="inlineStr">
        <is>
          <t>Organize and manage events to engage stakeholders and enhance corporate image</t>
        </is>
      </c>
      <c r="E3" s="154" t="inlineStr">
        <is>
          <t>Cvent</t>
        </is>
      </c>
    </row>
    <row r="4" ht="22.5" customHeight="1" s="142">
      <c r="C4" s="154" t="inlineStr">
        <is>
          <t>Manage creative services</t>
        </is>
      </c>
      <c r="D4" s="154" t="inlineStr">
        <is>
          <t>Supervise the creation and production of visual and written content across various media</t>
        </is>
      </c>
      <c r="E4" s="18" t="n"/>
    </row>
    <row r="5" ht="29.15" customHeight="1" s="142">
      <c r="C5" s="154" t="inlineStr">
        <is>
          <t>Manage digital marketing</t>
        </is>
      </c>
      <c r="D5" s="154" t="inlineStr">
        <is>
          <t>Strategize and execute online marketing efforts to drive digital engagement and conversion</t>
        </is>
      </c>
      <c r="E5" s="154" t="inlineStr">
        <is>
          <t>Kentico, Kallik, HubSpot, Shyft, Symphony, eIFU Titania, Workfront</t>
        </is>
      </c>
    </row>
    <row r="6">
      <c r="C6" s="154" t="inlineStr">
        <is>
          <t>Conduct public relations</t>
        </is>
      </c>
      <c r="D6" s="154" t="inlineStr">
        <is>
          <t>Handle media relations and communication strategies to maintain a positive public image</t>
        </is>
      </c>
      <c r="E6" s="154" t="inlineStr">
        <is>
          <t>Pr newswire</t>
        </is>
      </c>
    </row>
    <row r="7" ht="29.15" customHeight="1" s="142">
      <c r="A7" s="143" t="n">
        <v>3.2</v>
      </c>
      <c r="B7" s="154" t="inlineStr">
        <is>
          <t>Market products(Implement strategies to increase product visibility and engagement with target audiences)</t>
        </is>
      </c>
      <c r="C7" s="154" t="inlineStr">
        <is>
          <t>Establish marketing &amp; commercialization strategy</t>
        </is>
      </c>
      <c r="D7" s="154" t="inlineStr">
        <is>
          <t>Develop comprehensive plans to launch and establish products in the market effectively</t>
        </is>
      </c>
      <c r="E7" s="154" t="inlineStr">
        <is>
          <t>Definitive Healthcare</t>
        </is>
      </c>
    </row>
    <row r="8" ht="22.5" customHeight="1" s="142">
      <c r="C8" s="154" t="inlineStr">
        <is>
          <t>Create portfolio-level marketing forecasts</t>
        </is>
      </c>
      <c r="D8" s="154" t="inlineStr">
        <is>
          <t>Predict demand and performance to inform strategic decisions across product lines</t>
        </is>
      </c>
      <c r="E8" s="18" t="n"/>
    </row>
    <row r="9">
      <c r="C9" s="154" t="inlineStr">
        <is>
          <t>Attend trade shows &amp; capture leads</t>
        </is>
      </c>
      <c r="D9" s="154" t="inlineStr">
        <is>
          <t>Participate in industry events to showcase products and gather potential customer information</t>
        </is>
      </c>
      <c r="E9" s="154" t="inlineStr">
        <is>
          <t>SF Sales Cloud</t>
        </is>
      </c>
    </row>
    <row r="10">
      <c r="C10" s="154" t="inlineStr">
        <is>
          <t>Promote products</t>
        </is>
      </c>
      <c r="D10" s="154" t="inlineStr">
        <is>
          <t>Execute campaigns and initiatives to enhance product awareness and customer interest</t>
        </is>
      </c>
      <c r="E10" s="154" t="inlineStr">
        <is>
          <t>SFDC, Kentico, Kallik, Atmosphere, Wordpress</t>
        </is>
      </c>
    </row>
    <row r="11" ht="29.15" customHeight="1" s="142">
      <c r="C11" s="154" t="inlineStr">
        <is>
          <t>Train sales reps</t>
        </is>
      </c>
      <c r="D11" s="154" t="inlineStr">
        <is>
          <t>Equip the sales team with product knowledge and selling techniques to maximize efficiency and success in the field</t>
        </is>
      </c>
      <c r="E11" s="154" t="inlineStr">
        <is>
          <t>Axonify Smart Start, iCoach</t>
        </is>
      </c>
    </row>
    <row r="12" ht="81" customHeight="1" s="142">
      <c r="A12" s="143" t="n">
        <v>3.3</v>
      </c>
      <c r="B12" s="156" t="inlineStr">
        <is>
          <t>Professional education  (Provide learning opportunities and resources to enhance the knowledge and skills of healthcare professionals)</t>
        </is>
      </c>
      <c r="C12" s="154" t="inlineStr">
        <is>
          <t>Host educational events</t>
        </is>
      </c>
      <c r="D12" s="154" t="inlineStr">
        <is>
          <t>Organize seminars, workshops, and conferences to share industry insights and product information with medical professionals</t>
        </is>
      </c>
      <c r="E12" s="154" t="inlineStr">
        <is>
          <t>Cvent, itrain</t>
        </is>
      </c>
    </row>
    <row r="13" ht="29.15" customHeight="1" s="142">
      <c r="C13" s="154" t="inlineStr">
        <is>
          <t>Engage &amp; fund HCP’s</t>
        </is>
      </c>
      <c r="D13" s="154" t="inlineStr">
        <is>
          <t>Build relationships with healthcare professionals by supporting their education and involvement in industry activities</t>
        </is>
      </c>
      <c r="E13" s="154" t="inlineStr">
        <is>
          <t>Porzio, TikkaMobile</t>
        </is>
      </c>
    </row>
    <row r="14" ht="29.15" customHeight="1" s="142">
      <c r="C14" s="154" t="inlineStr">
        <is>
          <t>Support lab readiness</t>
        </is>
      </c>
      <c r="D14" s="154" t="inlineStr">
        <is>
          <t>Ensure that labs are equipped and prepared to facilitate effective training and product demonstrations for healthcare practitioners</t>
        </is>
      </c>
      <c r="E14" s="154" t="inlineStr">
        <is>
          <t>Itrain</t>
        </is>
      </c>
    </row>
    <row r="15" ht="29.15" customHeight="1" s="142">
      <c r="A15" s="143" t="n">
        <v>3.4</v>
      </c>
      <c r="B15" s="146" t="inlineStr">
        <is>
          <t>Sales (Drive revenue by promoting and distributing products to healthcare providers and institutions)</t>
        </is>
      </c>
      <c r="C15" s="147" t="inlineStr">
        <is>
          <t>Nurture leads</t>
        </is>
      </c>
      <c r="D15" s="147" t="inlineStr">
        <is>
          <t>Cultivate potential customers by establishing communication, providing information, and fostering interest in Integra's medical solutions</t>
        </is>
      </c>
      <c r="E15" s="147" t="inlineStr">
        <is>
          <t>SF Sales Cloud, hubspot</t>
        </is>
      </c>
    </row>
    <row r="16" ht="29.15" customHeight="1" s="142">
      <c r="C16" s="147" t="inlineStr">
        <is>
          <t>Manage customer relationships</t>
        </is>
      </c>
      <c r="D16" s="147" t="inlineStr">
        <is>
          <t>Build and maintain strong connections with clients through personalized service and ongoing support to ensure satisfaction and loyalty</t>
        </is>
      </c>
      <c r="E16" s="147" t="inlineStr">
        <is>
          <t>SF Sales Cloud</t>
        </is>
      </c>
    </row>
    <row r="17" ht="29.15" customHeight="1" s="142">
      <c r="C17" s="147" t="inlineStr">
        <is>
          <t>Develop opportunities, quoting &amp; sales forecasts</t>
        </is>
      </c>
      <c r="D17" s="147" t="inlineStr">
        <is>
          <t>Identify new business prospects, prepare and deliver detailed proposals, and predict future sales trends to guide strategic planning</t>
        </is>
      </c>
      <c r="E17" s="147" t="inlineStr">
        <is>
          <t>SF Sales Cloud</t>
        </is>
      </c>
    </row>
    <row r="18" ht="29.15" customHeight="1" s="142">
      <c r="C18" s="147" t="inlineStr">
        <is>
          <t>Negotiate pricing &amp; contracts</t>
        </is>
      </c>
      <c r="D18" s="147" t="inlineStr">
        <is>
          <t>Collaborate with customers on price structures and formalize agreements to ensure mutual benefits and compliance with company policies</t>
        </is>
      </c>
      <c r="E18" s="147" t="inlineStr">
        <is>
          <t>Model N, SF-CPQ</t>
        </is>
      </c>
    </row>
    <row r="19" ht="29.15" customHeight="1" s="142">
      <c r="A19" s="143" t="n">
        <v>3.5</v>
      </c>
      <c r="B19" s="146" t="inlineStr">
        <is>
          <t>Sales Operations (Optimize and support the sales process, including tracking orders, managing pipeline, and coordinating sales activities)</t>
        </is>
      </c>
      <c r="C19" s="147" t="inlineStr">
        <is>
          <t>Manage sales compensation</t>
        </is>
      </c>
      <c r="D19" s="147" t="inlineStr">
        <is>
          <t>Administer and oversee sales incentives and commission plans to motivate and reward the SF</t>
        </is>
      </c>
      <c r="E19" s="147" t="inlineStr">
        <is>
          <t>Oracle Incentive Compensation/Sales Performance Management</t>
        </is>
      </c>
    </row>
    <row r="20" ht="29.15" customHeight="1" s="142">
      <c r="C20" s="147" t="inlineStr">
        <is>
          <t>Manage sales channels &amp; territories</t>
        </is>
      </c>
      <c r="D20" s="147" t="inlineStr">
        <is>
          <t>Coordinate the distribution of products through various sales channels and define geographic sales zones</t>
        </is>
      </c>
      <c r="E20" s="147" t="inlineStr">
        <is>
          <t>Oracle Territory Management, Sales Performance Management</t>
        </is>
      </c>
    </row>
    <row r="21">
      <c r="C21" s="147" t="inlineStr">
        <is>
          <t>Manage clinical evaluations &amp; compliance</t>
        </is>
      </c>
      <c r="D21" s="147" t="inlineStr">
        <is>
          <t>Oversee the assessment and enhancement of compliance with regulatory standards in clinical settings</t>
        </is>
      </c>
      <c r="E21" s="147" t="inlineStr">
        <is>
          <t>Veeva CDMS/CTMS/RTMS</t>
        </is>
      </c>
    </row>
    <row r="22" ht="29.15" customHeight="1" s="142">
      <c r="C22" s="147" t="inlineStr">
        <is>
          <t>Manage gross to net, chargebacks &amp; trace data</t>
        </is>
      </c>
      <c r="D22" s="147" t="inlineStr">
        <is>
          <t>Reconcile hospital purchases and track detailed sales data to manage contracts and ensure compliance in medical device distribution</t>
        </is>
      </c>
      <c r="E22" s="147" t="inlineStr">
        <is>
          <t>Model N</t>
        </is>
      </c>
    </row>
    <row r="23">
      <c r="C23" s="147" t="inlineStr">
        <is>
          <t>Produce sales &amp; pricing analytics</t>
        </is>
      </c>
      <c r="D23" s="147" t="inlineStr">
        <is>
          <t>Provide insights and data analysis on sales performance, market trends, and pricing strategies</t>
        </is>
      </c>
      <c r="E23" s="147" t="inlineStr">
        <is>
          <t>Certara Analytics, SF Einstein</t>
        </is>
      </c>
    </row>
    <row r="24">
      <c r="C24" s="147" t="inlineStr">
        <is>
          <t>Manage consignment &amp; NFHU samples</t>
        </is>
      </c>
      <c r="D24" s="147" t="inlineStr">
        <is>
          <t>Control the inventory of products placed in consignment locations and manage samples not for human use</t>
        </is>
      </c>
      <c r="E24" s="147" t="inlineStr">
        <is>
          <t>Move Medical</t>
        </is>
      </c>
    </row>
    <row r="25">
      <c r="C25" s="147" t="inlineStr">
        <is>
          <t>Technical support for capital equipment</t>
        </is>
      </c>
      <c r="D25" s="147" t="inlineStr">
        <is>
          <t>Offer technical assistance and maintenance for products, ensuring functionality and customer satisfaction</t>
        </is>
      </c>
      <c r="E25" s="147" t="inlineStr">
        <is>
          <t>SFDC (only for Mayfield product)</t>
        </is>
      </c>
    </row>
    <row r="26">
      <c r="A26" s="143" t="n">
        <v>3.6</v>
      </c>
      <c r="B26" s="146" t="inlineStr">
        <is>
          <t>Customer Service (Deliver assistance and support to customers through direct channels to ensure satisfaction and resolve issues)</t>
        </is>
      </c>
      <c r="C26" s="147" t="inlineStr">
        <is>
          <t>Oversee order to cash</t>
        </is>
      </c>
      <c r="D26" s="147" t="inlineStr">
        <is>
          <t>Manage the process of converting customer orders into invoices, ensuring accurate and timely billing</t>
        </is>
      </c>
      <c r="E26" s="147" t="inlineStr">
        <is>
          <t>GHX, Esker, HighRadius</t>
        </is>
      </c>
    </row>
    <row r="27">
      <c r="C27" s="147" t="inlineStr">
        <is>
          <t>Respond to customer inquiries</t>
        </is>
      </c>
      <c r="D27" s="147" t="inlineStr">
        <is>
          <t>Address questions or concerns from customers with prompt and accurate information</t>
        </is>
      </c>
      <c r="E27" s="147" t="inlineStr">
        <is>
          <t>Five9</t>
        </is>
      </c>
    </row>
    <row r="28" ht="29.15" customHeight="1" s="142">
      <c r="C28" s="147" t="inlineStr">
        <is>
          <t>Intake product &amp; service complaints</t>
        </is>
      </c>
      <c r="D28" s="147" t="inlineStr">
        <is>
          <t>Record and process complaints regarding products or services to ensure resolution and customer satisfaction</t>
        </is>
      </c>
      <c r="E28" s="147" t="inlineStr">
        <is>
          <t>Trackwise on Prem, Complaint Portal</t>
        </is>
      </c>
    </row>
    <row r="29" ht="29.15" customHeight="1" s="142">
      <c r="A29" s="143" t="n">
        <v>3.7</v>
      </c>
      <c r="B29" s="146" t="inlineStr">
        <is>
          <t>Service Repairs (Conduct maintenance and repair activities to ensure the effective functioning of products and equipment)</t>
        </is>
      </c>
      <c r="C29" s="147" t="inlineStr">
        <is>
          <t>Manage warranties and ESA’s:</t>
        </is>
      </c>
      <c r="D29" s="147" t="inlineStr">
        <is>
          <t>Administer warranty agreements and Extended Service Agreements (ESAs) to ensure compliance and customer fulfillment</t>
        </is>
      </c>
      <c r="E29" s="147" t="inlineStr">
        <is>
          <t>Oracle EBS</t>
        </is>
      </c>
    </row>
    <row r="30">
      <c r="C30" s="147" t="inlineStr">
        <is>
          <t>Provide field services</t>
        </is>
      </c>
      <c r="D30" s="147" t="inlineStr">
        <is>
          <t>Deliver on-site technical support and maintenance to customers for optimal product performance</t>
        </is>
      </c>
      <c r="E30" s="147" t="inlineStr">
        <is>
          <t>SFDC, Oracle EBS</t>
        </is>
      </c>
    </row>
    <row r="31">
      <c r="C31" s="147" t="inlineStr">
        <is>
          <t>Service depot repairs</t>
        </is>
      </c>
      <c r="D31" s="147" t="inlineStr">
        <is>
          <t>Perform off-site repairs and refurbishments at designated service centers</t>
        </is>
      </c>
      <c r="E31" s="147" t="inlineStr">
        <is>
          <t>SFDC, Oracle EBS</t>
        </is>
      </c>
    </row>
    <row r="32" ht="29.15" customHeight="1" s="142">
      <c r="C32" s="147" t="inlineStr">
        <is>
          <t>Technical customer service</t>
        </is>
      </c>
      <c r="D32" s="147" t="inlineStr">
        <is>
          <t>Provide expert assistance to customers by addressing product-related inquiries and resolving technical issues efficiently</t>
        </is>
      </c>
      <c r="E32" s="147" t="inlineStr">
        <is>
          <t>SFDC, Oracle EBS</t>
        </is>
      </c>
    </row>
    <row r="33" ht="29.15" customHeight="1" s="142">
      <c r="C33" s="147" t="inlineStr">
        <is>
          <t>Manage instruments loaner pool</t>
        </is>
      </c>
      <c r="D33" s="147" t="inlineStr">
        <is>
          <t>Oversee the availability and distribution of loaner instruments to support customer needs during repair or downtime</t>
        </is>
      </c>
      <c r="E33" s="147" t="inlineStr">
        <is>
          <t>SFDC, Oracle EBS</t>
        </is>
      </c>
    </row>
    <row r="34">
      <c r="C34" s="147" t="inlineStr">
        <is>
          <t>Manage spare parts inventory</t>
        </is>
      </c>
      <c r="D34" s="147" t="inlineStr">
        <is>
          <t>Control the stock and distribution of spare parts to facilitate efficient repairs and maintenance</t>
        </is>
      </c>
      <c r="E34" s="147" t="inlineStr">
        <is>
          <t>SFDC, Oracle EBS</t>
        </is>
      </c>
    </row>
    <row r="35">
      <c r="A35" s="143" t="n">
        <v>3.8</v>
      </c>
      <c r="B35" s="155" t="inlineStr">
        <is>
          <t>Post-market surveillance (Monitor and analyze products' performance and safety in the market to ensure continued compliance and identify potential risks)</t>
        </is>
      </c>
      <c r="C35" s="147" t="inlineStr">
        <is>
          <t>Report product safety updates</t>
        </is>
      </c>
      <c r="D35" s="147" t="inlineStr">
        <is>
          <t>Communicate ongoing safety information and improvements related to products to stakeholders</t>
        </is>
      </c>
      <c r="E35" s="147" t="inlineStr">
        <is>
          <t>Trackwise</t>
        </is>
      </c>
    </row>
    <row r="36">
      <c r="C36" s="147" t="inlineStr">
        <is>
          <t>Create trending reports</t>
        </is>
      </c>
      <c r="D36" s="147" t="inlineStr">
        <is>
          <t>Analyze data to identify patterns and trends in product performance and safety</t>
        </is>
      </c>
      <c r="E36" s="147" t="inlineStr">
        <is>
          <t>PowerBI/EDW</t>
        </is>
      </c>
    </row>
    <row r="37" ht="29.15" customHeight="1" s="142">
      <c r="C37" s="147" t="inlineStr">
        <is>
          <t>Manage complaints &amp; adverse events</t>
        </is>
      </c>
      <c r="D37" s="147" t="inlineStr">
        <is>
          <t>Process and investigate customer feedback and adverse incidents to ensure timely resolution and compliance</t>
        </is>
      </c>
      <c r="E37" s="147" t="inlineStr">
        <is>
          <t>Trackwise on Prem, Cdata (communication with FDA)</t>
        </is>
      </c>
    </row>
    <row r="38" ht="29.15" customHeight="1" s="142">
      <c r="C38" s="147" t="inlineStr">
        <is>
          <t>Coordinate HHE’s, FCA’s &amp; product recalls</t>
        </is>
      </c>
      <c r="D38" s="147" t="inlineStr">
        <is>
          <t>Organize and execute Health Hazard Evaluations, Field Corrective Actions, and recalls to mitigate safety risks and maintain regulatory compliance</t>
        </is>
      </c>
      <c r="E38" s="19" t="n"/>
    </row>
    <row r="39">
      <c r="B39" s="148" t="n"/>
    </row>
  </sheetData>
  <mergeCells count="16">
    <mergeCell ref="B19:B25"/>
    <mergeCell ref="A12:A14"/>
    <mergeCell ref="A26:A28"/>
    <mergeCell ref="B26:B28"/>
    <mergeCell ref="B12:B14"/>
    <mergeCell ref="A29:A34"/>
    <mergeCell ref="A19:A25"/>
    <mergeCell ref="B3:B6"/>
    <mergeCell ref="A3:A6"/>
    <mergeCell ref="A15:A18"/>
    <mergeCell ref="B15:B18"/>
    <mergeCell ref="B7:B11"/>
    <mergeCell ref="A35:A38"/>
    <mergeCell ref="A7:A11"/>
    <mergeCell ref="B29:B34"/>
    <mergeCell ref="B35:B3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F41"/>
  <sheetViews>
    <sheetView zoomScale="70" zoomScaleNormal="70" workbookViewId="0">
      <selection activeCell="B3" sqref="B3:B8"/>
    </sheetView>
  </sheetViews>
  <sheetFormatPr baseColWidth="8" defaultColWidth="10.83203125" defaultRowHeight="16"/>
  <cols>
    <col width="10.83203125" customWidth="1" style="143" min="1" max="1"/>
    <col width="28.5" customWidth="1" style="148" min="2" max="2"/>
    <col width="36.33203125" customWidth="1" style="142" min="3" max="3"/>
    <col width="95.33203125" customWidth="1" style="142" min="4" max="4"/>
    <col width="49.5" customWidth="1" style="142" min="5" max="5"/>
  </cols>
  <sheetData>
    <row r="2" customFormat="1" s="24">
      <c r="A2" s="25" t="n"/>
      <c r="B2" s="23" t="inlineStr">
        <is>
          <t>Capability</t>
        </is>
      </c>
      <c r="C2" s="23" t="inlineStr">
        <is>
          <t>Sub-capability</t>
        </is>
      </c>
      <c r="D2" s="23" t="inlineStr">
        <is>
          <t>Description</t>
        </is>
      </c>
      <c r="E2" s="23" t="inlineStr">
        <is>
          <t>Enabling Technologies</t>
        </is>
      </c>
    </row>
    <row r="3">
      <c r="A3" s="143" t="n">
        <v>4.1</v>
      </c>
      <c r="B3" s="146" t="inlineStr">
        <is>
          <t>Manage Finances (Oversee and control financial resources and processes, ensuring effective budget allocation and financial health)</t>
        </is>
      </c>
      <c r="C3" s="147" t="inlineStr">
        <is>
          <t>Manage accounting</t>
        </is>
      </c>
      <c r="D3" s="147" t="inlineStr">
        <is>
          <t>Handle bookkeeping, financial reporting, and compliance with accounting standards</t>
        </is>
      </c>
      <c r="E3" s="147" t="inlineStr">
        <is>
          <t>Onestream, Oracle EBS, Blackline, Concur, Workiva</t>
        </is>
      </c>
    </row>
    <row r="4">
      <c r="C4" s="147" t="inlineStr">
        <is>
          <t>Audit financials</t>
        </is>
      </c>
      <c r="D4" s="147" t="inlineStr">
        <is>
          <t>Analyze data trends over time to identify patterns or emerging issues affecting product performance or safety</t>
        </is>
      </c>
      <c r="E4" s="147" t="inlineStr">
        <is>
          <t>AppZen, AudiBoard, Fastpath</t>
        </is>
      </c>
    </row>
    <row r="5">
      <c r="C5" s="147" t="inlineStr">
        <is>
          <t>Manage treasury</t>
        </is>
      </c>
      <c r="D5" s="147" t="inlineStr">
        <is>
          <t>Optimize cash flow, manage debt, and manage financial investments</t>
        </is>
      </c>
      <c r="E5" s="147" t="inlineStr">
        <is>
          <t>Oracle EBS, OneSource, Sabrix, HighRadius</t>
        </is>
      </c>
    </row>
    <row r="6">
      <c r="C6" s="147" t="inlineStr">
        <is>
          <t>Manage FP&amp;A</t>
        </is>
      </c>
      <c r="D6" s="147" t="inlineStr">
        <is>
          <t>Plan and analyze financial performance to guide business strategy and decision-making</t>
        </is>
      </c>
      <c r="E6" s="147" t="inlineStr">
        <is>
          <t>OneStream, PowerBI</t>
        </is>
      </c>
    </row>
    <row r="7" ht="22.5" customHeight="1" s="142">
      <c r="C7" s="147" t="inlineStr">
        <is>
          <t>Manage insurance &amp; risk</t>
        </is>
      </c>
      <c r="D7" s="147" t="inlineStr">
        <is>
          <t>Assess and mitigate financial risks, and secure appropriate insurance coverage</t>
        </is>
      </c>
      <c r="E7" s="19" t="n"/>
    </row>
    <row r="8">
      <c r="C8" s="147" t="inlineStr">
        <is>
          <t>Manage investors relations</t>
        </is>
      </c>
      <c r="D8" s="147" t="inlineStr">
        <is>
          <t>Maintain communication with investors, providing updates on company performance and strategy</t>
        </is>
      </c>
      <c r="E8" s="147" t="inlineStr">
        <is>
          <t>Workiva</t>
        </is>
      </c>
    </row>
    <row r="9">
      <c r="B9" s="146" t="n"/>
      <c r="C9" s="29" t="inlineStr">
        <is>
          <t>Manage Customer Pricing Contracts</t>
        </is>
      </c>
      <c r="D9" s="29" t="n"/>
      <c r="E9" s="29" t="inlineStr">
        <is>
          <t>Model N</t>
        </is>
      </c>
    </row>
    <row r="10">
      <c r="B10" s="146" t="n"/>
      <c r="C10" s="29" t="inlineStr">
        <is>
          <t>Manage and report on Taxes</t>
        </is>
      </c>
      <c r="D10" s="29" t="n"/>
      <c r="E10" s="29" t="inlineStr">
        <is>
          <t>OneSource</t>
        </is>
      </c>
    </row>
    <row r="11">
      <c r="A11" s="143" t="n">
        <v>4.2</v>
      </c>
      <c r="B11" s="146" t="inlineStr">
        <is>
          <t>Manage Legal Affairs (Oversee all legal matters, ensuring compliance with laws and minimizing legal risks)</t>
        </is>
      </c>
      <c r="C11" s="147" t="inlineStr">
        <is>
          <t>General counsel</t>
        </is>
      </c>
      <c r="D11" s="147" t="inlineStr">
        <is>
          <t>Offer legal advice and support to ensure company operations align with laws and regulations</t>
        </is>
      </c>
      <c r="E11" s="147" t="inlineStr">
        <is>
          <t>Diligent</t>
        </is>
      </c>
    </row>
    <row r="12" ht="29.15" customHeight="1" s="142">
      <c r="C12" s="147" t="inlineStr">
        <is>
          <t>Manage contract lifecycles</t>
        </is>
      </c>
      <c r="D12" s="147" t="inlineStr">
        <is>
          <t>Oversee the creation, negotiation, execution, and renewal of contracts throughout their duration (and contract repository)</t>
        </is>
      </c>
      <c r="E12" s="147" t="inlineStr">
        <is>
          <t>Agiloft, SignNow</t>
        </is>
      </c>
    </row>
    <row r="13">
      <c r="C13" s="147" t="inlineStr">
        <is>
          <t>Promote ESG</t>
        </is>
      </c>
      <c r="D13" s="147" t="inlineStr">
        <is>
          <t>Advocate for environmental, social, and governance initiatives to enhance corporate responsibility</t>
        </is>
      </c>
      <c r="E13" s="147" t="inlineStr">
        <is>
          <t>Workiva, Sphera, Cority</t>
        </is>
      </c>
    </row>
    <row r="14">
      <c r="C14" s="147" t="inlineStr">
        <is>
          <t>Manage governmental compliance</t>
        </is>
      </c>
      <c r="D14" s="147" t="inlineStr">
        <is>
          <t>Ensure adherence to laws and regulations governing industry practices and operations</t>
        </is>
      </c>
      <c r="E14" s="147" t="inlineStr">
        <is>
          <t>Ethics Point, Porzio TPE, Diligent, Nayact</t>
        </is>
      </c>
    </row>
    <row r="15" ht="22.5" customHeight="1" s="142">
      <c r="C15" s="147" t="inlineStr">
        <is>
          <t>Manage corporate foundation</t>
        </is>
      </c>
      <c r="D15" s="147" t="inlineStr">
        <is>
          <t>Direct the activities of the corporate foundation to support philanthropic goals and initiatives</t>
        </is>
      </c>
      <c r="E15" s="19" t="n"/>
    </row>
    <row r="16" ht="29.15" customHeight="1" s="142">
      <c r="A16" s="143" t="n">
        <v>4.3</v>
      </c>
      <c r="B16" s="146" t="inlineStr">
        <is>
          <t>Manage Compliance (Develop and enforce policies and processes to ensure adherence to regulatory requirements and industry standards)</t>
        </is>
      </c>
      <c r="C16" s="147" t="inlineStr">
        <is>
          <t>Engage HCP &amp; educational grants</t>
        </is>
      </c>
      <c r="D16" s="147" t="inlineStr">
        <is>
          <t>Facilitate interactions with healthcare professionals and handle educational grants while ensuring compliance with regulatory guidelines</t>
        </is>
      </c>
      <c r="E16" s="147" t="inlineStr">
        <is>
          <t>Porzio (TPE &amp; Grant modules), CyberGrant</t>
        </is>
      </c>
    </row>
    <row r="17" ht="29.15" customHeight="1" s="142">
      <c r="C17" s="147" t="inlineStr">
        <is>
          <t>Report global transparency</t>
        </is>
      </c>
      <c r="D17" s="147" t="inlineStr">
        <is>
          <t>Report on financial relationships and transfers of value globally to maintain transparency with healthcare professionals and organizations.</t>
        </is>
      </c>
      <c r="E17" s="147" t="inlineStr">
        <is>
          <t>Porzio GST, Nayact</t>
        </is>
      </c>
    </row>
    <row r="18" ht="29.15" customHeight="1" s="142">
      <c r="C18" s="147" t="inlineStr">
        <is>
          <t>Deliver global compliance training</t>
        </is>
      </c>
      <c r="D18" s="147" t="inlineStr">
        <is>
          <t>Provide training on compliance requirements and ethical standards to employees worldwide to foster a culture of integrity</t>
        </is>
      </c>
      <c r="E18" s="147" t="inlineStr">
        <is>
          <t>LNR, Saba</t>
        </is>
      </c>
    </row>
    <row r="19" ht="29.15" customHeight="1" s="142">
      <c r="C19" s="147" t="inlineStr">
        <is>
          <t xml:space="preserve">Investigate &amp; audit compliance </t>
        </is>
      </c>
      <c r="D19" s="147" t="inlineStr">
        <is>
          <t>Conduct investigations and audits to identify and address compliance issues, ensuring adherence to policies and regulations</t>
        </is>
      </c>
      <c r="E19" s="147" t="inlineStr">
        <is>
          <t>FastPath, OneTrust, Audit Board</t>
        </is>
      </c>
    </row>
    <row r="20">
      <c r="C20" s="29" t="inlineStr">
        <is>
          <t>Employee safety intake and reporting</t>
        </is>
      </c>
      <c r="D20" s="29" t="n"/>
      <c r="E20" s="29" t="inlineStr">
        <is>
          <t>Cority</t>
        </is>
      </c>
    </row>
    <row r="21" ht="29.15" customHeight="1" s="142">
      <c r="C21" s="147" t="inlineStr">
        <is>
          <t>Manage data privacy</t>
        </is>
      </c>
      <c r="D21" s="147" t="inlineStr">
        <is>
          <t>Protect personal and sensitive data according to privacy laws and regulations, ensuring secure data handling practices</t>
        </is>
      </c>
      <c r="E21" s="147" t="inlineStr">
        <is>
          <t>OneTrust</t>
        </is>
      </c>
    </row>
    <row r="22">
      <c r="A22" s="143" t="n">
        <v>4.4</v>
      </c>
      <c r="B22" s="146" t="inlineStr">
        <is>
          <t>Manage Emploees (Oversee human resources operations, strategies, and practices to support organizational goals)</t>
        </is>
      </c>
      <c r="C22" s="147" t="inlineStr">
        <is>
          <t>Recruit &amp; hire individuals</t>
        </is>
      </c>
      <c r="D22" s="147" t="inlineStr">
        <is>
          <t>Identify, attract, and appoint suitable candidates for open positions</t>
        </is>
      </c>
      <c r="E22" s="147" t="inlineStr">
        <is>
          <t>Workday, iCIMS, HireRight</t>
        </is>
      </c>
    </row>
    <row r="23">
      <c r="C23" s="147" t="inlineStr">
        <is>
          <t>Payroll &amp; total rewards</t>
        </is>
      </c>
      <c r="D23" s="147" t="inlineStr">
        <is>
          <t>Administer compensation, benefits, and incentives for employees</t>
        </is>
      </c>
      <c r="E23" s="147" t="inlineStr">
        <is>
          <t>Workday, ADP, PayEQ, Alight</t>
        </is>
      </c>
    </row>
    <row r="24">
      <c r="C24" s="147" t="inlineStr">
        <is>
          <t>Employment compliance</t>
        </is>
      </c>
      <c r="D24" s="147" t="inlineStr">
        <is>
          <t>Ensure adherence to employment laws and regulations</t>
        </is>
      </c>
      <c r="E24" s="147" t="inlineStr">
        <is>
          <t>Workday</t>
        </is>
      </c>
    </row>
    <row r="25">
      <c r="C25" s="147" t="inlineStr">
        <is>
          <t>Employee relations</t>
        </is>
      </c>
      <c r="D25" s="147" t="inlineStr">
        <is>
          <t>Maintain positive relationships with employees, addressing conflicts and concerns</t>
        </is>
      </c>
      <c r="E25" s="147" t="inlineStr">
        <is>
          <t>Workday</t>
        </is>
      </c>
    </row>
    <row r="26" ht="29.15" customHeight="1" s="142">
      <c r="C26" s="147" t="inlineStr">
        <is>
          <t>Workforce, culture &amp; DEI</t>
        </is>
      </c>
      <c r="D26" s="147" t="inlineStr">
        <is>
          <t xml:space="preserve">Develop initiatives to enhance workplace morale and organizational culture and diversity, equity, and inclusion efforts </t>
        </is>
      </c>
      <c r="E26" s="147" t="inlineStr">
        <is>
          <t>Culture Amp</t>
        </is>
      </c>
    </row>
    <row r="27">
      <c r="C27" s="147" t="inlineStr">
        <is>
          <t>Manage talent, learning &amp; development</t>
        </is>
      </c>
      <c r="D27" s="147" t="inlineStr">
        <is>
          <t>Cultivate employee skills and career growth through training and performance management</t>
        </is>
      </c>
      <c r="E27" s="147" t="inlineStr">
        <is>
          <t>Saba, Udemy</t>
        </is>
      </c>
    </row>
    <row r="28">
      <c r="C28" s="147" t="inlineStr">
        <is>
          <t>Manage HRIS &amp; people analytics</t>
        </is>
      </c>
      <c r="D28" s="147" t="inlineStr">
        <is>
          <t>Oversee human resources information systems and leverage data for informed decision-making</t>
        </is>
      </c>
      <c r="E28" s="147" t="inlineStr">
        <is>
          <t>Workday</t>
        </is>
      </c>
    </row>
    <row r="29" ht="22.5" customHeight="1" s="142">
      <c r="C29" s="147" t="inlineStr">
        <is>
          <t>Partner with business functions</t>
        </is>
      </c>
      <c r="D29" s="147" t="inlineStr">
        <is>
          <t>Collaborate with various departments to align HR strategies with business objectives</t>
        </is>
      </c>
      <c r="E29" s="19" t="n"/>
    </row>
    <row r="30">
      <c r="A30" s="143" t="n">
        <v>4.5</v>
      </c>
      <c r="B30" s="146" t="inlineStr">
        <is>
          <t>Provide IT Services (Deliver technology support and solutions to meet organizational needs)</t>
        </is>
      </c>
      <c r="C30" s="147" t="inlineStr">
        <is>
          <t>Develop enterprise architecture</t>
        </is>
      </c>
      <c r="D30" s="147" t="inlineStr">
        <is>
          <t>Design and implement the overall IT structure and strategy for the business</t>
        </is>
      </c>
      <c r="E30" s="147" t="inlineStr">
        <is>
          <t>OnePlan</t>
        </is>
      </c>
    </row>
    <row r="31">
      <c r="C31" s="147" t="inlineStr">
        <is>
          <t>Develop IT applications</t>
        </is>
      </c>
      <c r="D31" s="147" t="inlineStr">
        <is>
          <t>Create and maintain information system software to enhance business processes</t>
        </is>
      </c>
      <c r="E31" s="147" t="inlineStr">
        <is>
          <t>Copado, Jitterbit</t>
        </is>
      </c>
    </row>
    <row r="32" ht="43.5" customHeight="1" s="142">
      <c r="C32" s="147" t="inlineStr">
        <is>
          <t>Maintain IT infrastructure</t>
        </is>
      </c>
      <c r="D32" s="147" t="inlineStr">
        <is>
          <t>Ensure the reliability and performance of IT hardware and networks</t>
        </is>
      </c>
      <c r="E32" s="147" t="inlineStr">
        <is>
          <t>Avaya, CallTower, UniFlow, Cisco, Citrix, CommVault, Palo Alto, Solarwinds, Lansweeper, Cherwell, RightFax, YouSendIt, Quest Toad, ServiceNow</t>
        </is>
      </c>
    </row>
    <row r="33">
      <c r="C33" s="147" t="inlineStr">
        <is>
          <t>Manage corporate data &amp; analytics</t>
        </is>
      </c>
      <c r="D33" s="147" t="inlineStr">
        <is>
          <t>Oversee data management and analysis to inform business decisions</t>
        </is>
      </c>
      <c r="E33" s="147" t="inlineStr">
        <is>
          <t>Profisee, Alteryx</t>
        </is>
      </c>
    </row>
    <row r="34" ht="43.5" customHeight="1" s="142">
      <c r="C34" s="147" t="inlineStr">
        <is>
          <t>Manage IT security</t>
        </is>
      </c>
      <c r="D34" s="147" t="inlineStr">
        <is>
          <t>Protect information systems from threats and unauthorized access</t>
        </is>
      </c>
      <c r="E34" s="147" t="inlineStr">
        <is>
          <t>AlertMedia, Thycotic, Varonis, Carbon Black, Qradar, OIM, Falcon Complete Flex, Proofpoint, Rapid7, Valimail, Bitsight</t>
        </is>
      </c>
    </row>
    <row r="35">
      <c r="C35" s="29" t="inlineStr">
        <is>
          <t>Incident Management</t>
        </is>
      </c>
      <c r="D35" s="29" t="inlineStr">
        <is>
          <t>Intake, updates, reporting</t>
        </is>
      </c>
      <c r="E35" s="29" t="inlineStr">
        <is>
          <t>ServiceNow</t>
        </is>
      </c>
    </row>
    <row r="36">
      <c r="C36" s="147" t="inlineStr">
        <is>
          <t>Manage IT compliance</t>
        </is>
      </c>
      <c r="D36" s="147" t="inlineStr">
        <is>
          <t>Ensure information systems comply with relevant laws, regulations, and standards</t>
        </is>
      </c>
      <c r="E36" s="147" t="inlineStr">
        <is>
          <t>FastPath, ValGenesis, ServiceNow(Change Control)</t>
        </is>
      </c>
    </row>
    <row r="37" ht="22.5" customHeight="1" s="142">
      <c r="A37" s="143" t="n">
        <v>4.6</v>
      </c>
      <c r="B37" s="146" t="inlineStr">
        <is>
          <t>Maintain Corporate facilities (Oversee the upkeep and functional operation of company buildings and environments)</t>
        </is>
      </c>
      <c r="C37" s="3" t="inlineStr">
        <is>
          <t>Sustain facilities</t>
        </is>
      </c>
      <c r="D37" s="3" t="inlineStr">
        <is>
          <t>Implement ongoing maintenance practices to ensure facilities remain safe and operationally efficient</t>
        </is>
      </c>
      <c r="E37" s="9" t="n"/>
      <c r="F37" s="9" t="n"/>
    </row>
    <row r="38" ht="22.5" customHeight="1" s="142">
      <c r="C38" s="3" t="inlineStr">
        <is>
          <t>Execute capital upgrades</t>
        </is>
      </c>
      <c r="D38" s="3" t="inlineStr">
        <is>
          <t>Plan and carry out improvements to modernize and enhance facility infrastructure</t>
        </is>
      </c>
      <c r="E38" s="9" t="n"/>
      <c r="F38" s="9" t="n"/>
    </row>
    <row r="39" ht="22.5" customHeight="1" s="142">
      <c r="C39" s="3" t="inlineStr">
        <is>
          <t>Ensure security</t>
        </is>
      </c>
      <c r="D39" s="3" t="inlineStr">
        <is>
          <t>Enforce measures to protect premises, assets, and personnel from threats and unauthorized access</t>
        </is>
      </c>
      <c r="E39" s="9" t="n"/>
      <c r="F39" s="9" t="n"/>
    </row>
    <row r="40" ht="22.5" customHeight="1" s="142">
      <c r="C40" s="3" t="inlineStr">
        <is>
          <t>Monitor EHSS</t>
        </is>
      </c>
      <c r="D40" s="3" t="inlineStr">
        <is>
          <t>Track Environmental, Health, Safety, and Sustainability standards to promote a safe and healthy workplace</t>
        </is>
      </c>
      <c r="E40" s="9" t="n"/>
      <c r="F40" s="9" t="n"/>
    </row>
    <row r="41" ht="22.5" customHeight="1" s="142">
      <c r="C41" s="3" t="inlineStr">
        <is>
          <t>Manage crises &amp; business continuity</t>
        </is>
      </c>
      <c r="D41" s="3" t="inlineStr">
        <is>
          <t>Develop and implement plans to respond effectively to emergencies and ensure ongoing business operations</t>
        </is>
      </c>
      <c r="E41" s="9" t="n"/>
      <c r="F41" s="9" t="n"/>
    </row>
  </sheetData>
  <mergeCells count="12">
    <mergeCell ref="B3:B8"/>
    <mergeCell ref="A3:A8"/>
    <mergeCell ref="B22:B29"/>
    <mergeCell ref="B11:B15"/>
    <mergeCell ref="A30:A36"/>
    <mergeCell ref="B16:B21"/>
    <mergeCell ref="A16:A21"/>
    <mergeCell ref="B37:B41"/>
    <mergeCell ref="A11:A15"/>
    <mergeCell ref="A22:A29"/>
    <mergeCell ref="B30:B36"/>
    <mergeCell ref="A37:A41"/>
  </mergeCells>
  <pageMargins left="0.7" right="0.7" top="0.75" bottom="0.75" header="0.3" footer="0.3"/>
</worksheet>
</file>

<file path=xl/worksheets/sheet5.xml><?xml version="1.0" encoding="utf-8"?>
<worksheet xmlns="http://schemas.openxmlformats.org/spreadsheetml/2006/main">
  <sheetPr>
    <tabColor rgb="FF0070C0"/>
    <outlinePr summaryBelow="1" summaryRight="1"/>
    <pageSetUpPr/>
  </sheetPr>
  <dimension ref="A1:E174"/>
  <sheetViews>
    <sheetView topLeftCell="A118" zoomScale="70" zoomScaleNormal="70" workbookViewId="0">
      <selection activeCell="C117" sqref="C117"/>
    </sheetView>
  </sheetViews>
  <sheetFormatPr baseColWidth="8" defaultRowHeight="16"/>
  <cols>
    <col width="40.25" customWidth="1" style="142" min="1" max="1"/>
    <col width="33.83203125" customWidth="1" style="142" min="2" max="2"/>
    <col width="38.33203125" customWidth="1" style="142" min="3" max="3"/>
    <col width="25.08203125" customWidth="1" style="142" min="4" max="4"/>
  </cols>
  <sheetData>
    <row r="1">
      <c r="A1" s="130" t="inlineStr">
        <is>
          <t>Current Status</t>
        </is>
      </c>
      <c r="B1" s="131" t="inlineStr">
        <is>
          <t>(All)</t>
        </is>
      </c>
    </row>
    <row r="3">
      <c r="A3" s="127" t="inlineStr">
        <is>
          <t>Count of Application</t>
        </is>
      </c>
      <c r="B3" s="125" t="n"/>
      <c r="C3" s="125" t="n"/>
      <c r="D3" s="125" t="n"/>
      <c r="E3" s="132" t="n"/>
    </row>
    <row r="4">
      <c r="A4" s="127" t="inlineStr">
        <is>
          <t>Portfolio Category</t>
        </is>
      </c>
      <c r="B4" s="127" t="inlineStr">
        <is>
          <t>Application</t>
        </is>
      </c>
      <c r="C4" s="127" t="inlineStr">
        <is>
          <t>Description &amp; Additional Notes</t>
        </is>
      </c>
      <c r="D4" s="127" t="inlineStr">
        <is>
          <t>Source</t>
        </is>
      </c>
      <c r="E4" s="132" t="inlineStr">
        <is>
          <t>Total</t>
        </is>
      </c>
    </row>
    <row r="5">
      <c r="A5" s="124" t="inlineStr">
        <is>
          <t>IT Operations</t>
        </is>
      </c>
      <c r="B5" s="125" t="n"/>
      <c r="C5" s="125" t="n"/>
      <c r="D5" s="125" t="n"/>
      <c r="E5" s="132" t="n">
        <v>234</v>
      </c>
    </row>
    <row r="6">
      <c r="A6" s="124" t="inlineStr">
        <is>
          <t>Manufacturing</t>
        </is>
      </c>
      <c r="B6" s="124" t="inlineStr">
        <is>
          <t>109 Manufacturing System (MAN)</t>
        </is>
      </c>
      <c r="C6" s="124" t="inlineStr">
        <is>
          <t>Manufacturing software in NJ</t>
        </is>
      </c>
      <c r="D6" s="125" t="n"/>
      <c r="E6" s="132" t="n">
        <v>1</v>
      </c>
    </row>
    <row r="7">
      <c r="A7" s="126" t="n"/>
      <c r="B7" s="124" t="inlineStr">
        <is>
          <t>3 of 9 Font</t>
        </is>
      </c>
      <c r="C7" s="124" t="inlineStr">
        <is>
          <t>Part of desktop image-Barcode fonts</t>
        </is>
      </c>
      <c r="D7" s="125" t="n"/>
      <c r="E7" s="132" t="n">
        <v>1</v>
      </c>
    </row>
    <row r="8">
      <c r="A8" s="126" t="n"/>
      <c r="B8" s="124" t="inlineStr">
        <is>
          <t>Ansure</t>
        </is>
      </c>
      <c r="C8" s="124" t="inlineStr">
        <is>
          <t>Temperature measurement</t>
        </is>
      </c>
      <c r="D8" s="125" t="n"/>
      <c r="E8" s="132" t="n">
        <v>1</v>
      </c>
    </row>
    <row r="9">
      <c r="A9" s="126" t="n"/>
      <c r="B9" s="124" t="inlineStr">
        <is>
          <t>ARO TESTER (3)</t>
        </is>
      </c>
      <c r="C9" s="124" t="inlineStr">
        <is>
          <t>Manufacturing software in PR</t>
        </is>
      </c>
      <c r="D9" s="125" t="n"/>
      <c r="E9" s="132" t="n">
        <v>1</v>
      </c>
    </row>
    <row r="10">
      <c r="A10" s="126" t="n"/>
      <c r="B10" s="124" t="inlineStr">
        <is>
          <t>Automated Inspection and Segregation System Multivac Biopatch</t>
        </is>
      </c>
      <c r="C10" s="124" t="inlineStr">
        <is>
          <t>Manufacturing application</t>
        </is>
      </c>
      <c r="D10" s="125" t="n"/>
      <c r="E10" s="132" t="n">
        <v>1</v>
      </c>
    </row>
    <row r="11">
      <c r="A11" s="126" t="n"/>
      <c r="B11" s="124" t="inlineStr">
        <is>
          <t>BarCode Pro</t>
        </is>
      </c>
      <c r="C11" s="124" t="inlineStr">
        <is>
          <t>(blank)</t>
        </is>
      </c>
      <c r="D11" s="125" t="n"/>
      <c r="E11" s="132" t="n">
        <v>1</v>
      </c>
    </row>
    <row r="12">
      <c r="A12" s="126" t="n"/>
      <c r="B12" s="124" t="inlineStr">
        <is>
          <t>Barecode Magic</t>
        </is>
      </c>
      <c r="C12" s="124" t="inlineStr">
        <is>
          <t>Product Barcode</t>
        </is>
      </c>
      <c r="D12" s="125" t="n"/>
      <c r="E12" s="132" t="n">
        <v>1</v>
      </c>
    </row>
    <row r="13">
      <c r="A13" s="126" t="n"/>
      <c r="B13" s="124" t="inlineStr">
        <is>
          <t>Bartender</t>
        </is>
      </c>
      <c r="C13" s="124" t="inlineStr">
        <is>
          <t>Product Labeling</t>
        </is>
      </c>
      <c r="D13" s="125" t="n"/>
      <c r="E13" s="132" t="n">
        <v>2</v>
      </c>
    </row>
    <row r="14">
      <c r="A14" s="126" t="n"/>
      <c r="B14" s="124" t="inlineStr">
        <is>
          <t>BartPE Builder</t>
        </is>
      </c>
      <c r="C14" s="124" t="inlineStr">
        <is>
          <t>Product Labeling</t>
        </is>
      </c>
      <c r="D14" s="125" t="n"/>
      <c r="E14" s="132" t="n">
        <v>1</v>
      </c>
    </row>
    <row r="15">
      <c r="A15" s="126" t="n"/>
      <c r="B15" s="124" t="inlineStr">
        <is>
          <t>Chiller LYO</t>
        </is>
      </c>
      <c r="C15" s="124" t="inlineStr">
        <is>
          <t>(blank)</t>
        </is>
      </c>
      <c r="D15" s="125" t="n"/>
      <c r="E15" s="132" t="n">
        <v>1</v>
      </c>
    </row>
    <row r="16">
      <c r="A16" s="126" t="n"/>
      <c r="B16" s="124" t="inlineStr">
        <is>
          <t>Cimco Edit</t>
        </is>
      </c>
      <c r="C16" s="124" t="inlineStr">
        <is>
          <t>Software that houses product drawings and designs</t>
        </is>
      </c>
      <c r="D16" s="125" t="n"/>
      <c r="E16" s="132" t="n">
        <v>1</v>
      </c>
    </row>
    <row r="17">
      <c r="A17" s="126" t="n"/>
      <c r="B17" s="124" t="inlineStr">
        <is>
          <t>CNC SOFTWARE LLC MASTERCAM</t>
        </is>
      </c>
      <c r="C17" s="124" t="inlineStr">
        <is>
          <t>CAD/CAM software for CNC programming, machining, and manufacturing.</t>
        </is>
      </c>
      <c r="D17" s="125" t="n"/>
      <c r="E17" s="132" t="n">
        <v>1</v>
      </c>
    </row>
    <row r="18">
      <c r="A18" s="126" t="n"/>
      <c r="B18" s="124" t="inlineStr">
        <is>
          <t>Code 39 Font</t>
        </is>
      </c>
      <c r="C18" s="124" t="inlineStr">
        <is>
          <t>Generates bar codes. Seen on one active machine in LS</t>
        </is>
      </c>
      <c r="D18" s="125" t="n"/>
      <c r="E18" s="132" t="n">
        <v>1</v>
      </c>
    </row>
    <row r="19">
      <c r="A19" s="126" t="n"/>
      <c r="B19" s="124" t="inlineStr">
        <is>
          <t>CODESOFT 9</t>
        </is>
      </c>
      <c r="C19" s="124" t="inlineStr">
        <is>
          <t>(blank)</t>
        </is>
      </c>
      <c r="D19" s="125" t="n"/>
      <c r="E19" s="132" t="n">
        <v>1</v>
      </c>
    </row>
    <row r="20">
      <c r="A20" s="126" t="n"/>
      <c r="B20" s="124" t="inlineStr">
        <is>
          <t>Cuddon LYO</t>
        </is>
      </c>
      <c r="C20" s="124" t="inlineStr">
        <is>
          <t>(blank)</t>
        </is>
      </c>
      <c r="D20" s="125" t="n"/>
      <c r="E20" s="132" t="n">
        <v>1</v>
      </c>
    </row>
    <row r="21">
      <c r="A21" s="126" t="n"/>
      <c r="B21" s="124" t="inlineStr">
        <is>
          <t>CustomBone</t>
        </is>
      </c>
      <c r="C21" s="124" t="inlineStr">
        <is>
          <t>(blank)</t>
        </is>
      </c>
      <c r="D21" s="125" t="n"/>
      <c r="E21" s="132" t="n">
        <v>1</v>
      </c>
    </row>
    <row r="22">
      <c r="A22" s="126" t="n"/>
      <c r="B22" s="124" t="inlineStr">
        <is>
          <t>Cwork 2011</t>
        </is>
      </c>
      <c r="C22" s="124" t="inlineStr">
        <is>
          <t>(blank)</t>
        </is>
      </c>
      <c r="D22" s="125" t="n"/>
      <c r="E22" s="132" t="n">
        <v>1</v>
      </c>
    </row>
    <row r="23">
      <c r="A23" s="126" t="n"/>
      <c r="B23" s="124" t="inlineStr">
        <is>
          <t>DYMO</t>
        </is>
      </c>
      <c r="C23" s="124" t="inlineStr">
        <is>
          <t>(blank)</t>
        </is>
      </c>
      <c r="D23" s="125" t="n"/>
      <c r="E23" s="132" t="n">
        <v>1</v>
      </c>
    </row>
    <row r="24">
      <c r="A24" s="126" t="n"/>
      <c r="B24" s="124" t="inlineStr">
        <is>
          <t>Easy Label</t>
        </is>
      </c>
      <c r="C24" s="124" t="inlineStr">
        <is>
          <t>(blank)</t>
        </is>
      </c>
      <c r="D24" s="125" t="n"/>
      <c r="E24" s="132" t="n">
        <v>1</v>
      </c>
    </row>
    <row r="25">
      <c r="A25" s="126" t="n"/>
      <c r="B25" s="124" t="inlineStr">
        <is>
          <t>Eurydice</t>
        </is>
      </c>
      <c r="C25" s="124" t="inlineStr">
        <is>
          <t>(blank)</t>
        </is>
      </c>
      <c r="D25" s="125" t="n"/>
      <c r="E25" s="132" t="n">
        <v>1</v>
      </c>
    </row>
    <row r="26">
      <c r="A26" s="126" t="n"/>
      <c r="B26" s="124" t="inlineStr">
        <is>
          <t>FTP / GMP</t>
        </is>
      </c>
      <c r="C26" s="124" t="inlineStr">
        <is>
          <t>A proposed solution is to move to VRTX in B109. Isolated server.
Server name application comment
US311FTP007 B105 Chart Recorders DATA Migrate to B109 Dell Vortex VM servers (tunneling between VILAN74 and VILAN 75)</t>
        </is>
      </c>
      <c r="D26" s="125" t="n"/>
      <c r="E26" s="132" t="n">
        <v>1</v>
      </c>
    </row>
    <row r="27">
      <c r="A27" s="126" t="n"/>
      <c r="B27" s="124" t="inlineStr">
        <is>
          <t>GE PLC (Professional Logic Developer? Also Fanuc, Versamax?)</t>
        </is>
      </c>
      <c r="C27" s="124" t="inlineStr">
        <is>
          <t>Product Labeling</t>
        </is>
      </c>
      <c r="D27" s="125" t="n"/>
      <c r="E27" s="132" t="n">
        <v>1</v>
      </c>
    </row>
    <row r="28">
      <c r="A28" s="126" t="n"/>
      <c r="B28" s="124" t="inlineStr">
        <is>
          <t>GibbsCAM 2011</t>
        </is>
      </c>
      <c r="C28" s="124" t="inlineStr">
        <is>
          <t>CAD</t>
        </is>
      </c>
      <c r="D28" s="125" t="n"/>
      <c r="E28" s="132" t="n">
        <v>1</v>
      </c>
    </row>
    <row r="29">
      <c r="A29" s="126" t="n"/>
      <c r="B29" s="124" t="inlineStr">
        <is>
          <t>Gravograph/GravoStyle</t>
        </is>
      </c>
      <c r="C29" s="124" t="inlineStr">
        <is>
          <t>(blank)</t>
        </is>
      </c>
      <c r="D29" s="125" t="n"/>
      <c r="E29" s="132" t="n">
        <v>1</v>
      </c>
    </row>
    <row r="30">
      <c r="A30" s="126" t="n"/>
      <c r="B30" s="124" t="inlineStr">
        <is>
          <t>IPM Labeling (Access)</t>
        </is>
      </c>
      <c r="C30" s="124" t="inlineStr">
        <is>
          <t>Decommissioned since SLC is on Oracle now?</t>
        </is>
      </c>
      <c r="D30" s="125" t="n"/>
      <c r="E30" s="132" t="n">
        <v>1</v>
      </c>
    </row>
    <row r="31">
      <c r="A31" s="126" t="n"/>
      <c r="B31" s="124" t="inlineStr">
        <is>
          <t>KISS (Kiln Interface &amp; Datalogger Software System)</t>
        </is>
      </c>
      <c r="C31" s="124" t="inlineStr">
        <is>
          <t>(blank)</t>
        </is>
      </c>
      <c r="D31" s="125" t="n"/>
      <c r="E31" s="132" t="n">
        <v>1</v>
      </c>
    </row>
    <row r="32">
      <c r="A32" s="126" t="n"/>
      <c r="B32" s="124" t="inlineStr">
        <is>
          <t>Label Gallery</t>
        </is>
      </c>
      <c r="C32" s="124" t="inlineStr">
        <is>
          <t>(blank)</t>
        </is>
      </c>
      <c r="D32" s="125" t="n"/>
      <c r="E32" s="132" t="n">
        <v>1</v>
      </c>
    </row>
    <row r="33">
      <c r="A33" s="126" t="n"/>
      <c r="B33" s="124" t="inlineStr">
        <is>
          <t>LEGITRONIC LABEL SOFTWARE- WEBBER</t>
        </is>
      </c>
      <c r="C33" s="124" t="inlineStr">
        <is>
          <t>(blank)</t>
        </is>
      </c>
      <c r="D33" s="125" t="n"/>
      <c r="E33" s="132" t="n">
        <v>1</v>
      </c>
    </row>
    <row r="34">
      <c r="A34" s="126" t="n"/>
      <c r="B34" s="124" t="inlineStr">
        <is>
          <t>LOFTWARE</t>
        </is>
      </c>
      <c r="C34" s="124" t="inlineStr">
        <is>
          <t>Printing WIP and finished goods labelling.
US311LOFTST001 - Production
US311LOFPRD001
US311LOFQA001
US311LOF002</t>
        </is>
      </c>
      <c r="D34" s="125" t="n"/>
      <c r="E34" s="132" t="n">
        <v>1</v>
      </c>
    </row>
    <row r="35">
      <c r="A35" s="126" t="n"/>
      <c r="B35" s="126" t="n"/>
      <c r="C35" s="124" t="inlineStr">
        <is>
          <t>(blank)</t>
        </is>
      </c>
      <c r="D35" s="125" t="n"/>
      <c r="E35" s="132" t="n">
        <v>1</v>
      </c>
    </row>
    <row r="36">
      <c r="A36" s="126" t="n"/>
      <c r="B36" s="124" t="inlineStr">
        <is>
          <t>LPCplus</t>
        </is>
      </c>
      <c r="C36" s="124" t="inlineStr">
        <is>
          <t>(blank)</t>
        </is>
      </c>
      <c r="D36" s="125" t="n"/>
      <c r="E36" s="132" t="n">
        <v>1</v>
      </c>
    </row>
    <row r="37">
      <c r="A37" s="126" t="n"/>
      <c r="B37" s="124" t="inlineStr">
        <is>
          <t>LVS 7500 Barcode Verification</t>
        </is>
      </c>
      <c r="C37" s="124" t="inlineStr">
        <is>
          <t>(blank)</t>
        </is>
      </c>
      <c r="D37" s="125" t="n"/>
      <c r="E37" s="132" t="n">
        <v>1</v>
      </c>
    </row>
    <row r="38">
      <c r="A38" s="126" t="n"/>
      <c r="B38" s="124" t="inlineStr">
        <is>
          <t>LVS 95xx Barcode Verification</t>
        </is>
      </c>
      <c r="C38" s="124" t="inlineStr">
        <is>
          <t>(blank)</t>
        </is>
      </c>
      <c r="D38" s="125" t="n"/>
      <c r="E38" s="132" t="n">
        <v>2</v>
      </c>
    </row>
    <row r="39">
      <c r="A39" s="126" t="n"/>
      <c r="B39" s="124" t="inlineStr">
        <is>
          <t>LYON MANAGER II</t>
        </is>
      </c>
      <c r="C39" s="124" t="inlineStr">
        <is>
          <t>(blank)</t>
        </is>
      </c>
      <c r="D39" s="125" t="n"/>
      <c r="E39" s="132" t="n">
        <v>1</v>
      </c>
    </row>
    <row r="40">
      <c r="A40" s="126" t="n"/>
      <c r="B40" s="124" t="inlineStr">
        <is>
          <t>MasterCAM</t>
        </is>
      </c>
      <c r="C40" s="124" t="inlineStr">
        <is>
          <t>CAD</t>
        </is>
      </c>
      <c r="D40" s="125" t="n"/>
      <c r="E40" s="132" t="n">
        <v>2</v>
      </c>
    </row>
    <row r="41">
      <c r="A41" s="126" t="n"/>
      <c r="B41" s="124" t="inlineStr">
        <is>
          <t>Merlin II PinStamp</t>
        </is>
      </c>
      <c r="C41" s="124" t="inlineStr">
        <is>
          <t>LOT code etcher for parts</t>
        </is>
      </c>
      <c r="D41" s="125" t="n"/>
      <c r="E41" s="132" t="n">
        <v>1</v>
      </c>
    </row>
    <row r="42">
      <c r="A42" s="126" t="n"/>
      <c r="B42" s="124" t="inlineStr">
        <is>
          <t>MES</t>
        </is>
      </c>
      <c r="C42" s="124" t="inlineStr">
        <is>
          <t>Custom software used for Rework orders in MFG. Active but only using Rework Order module</t>
        </is>
      </c>
      <c r="D42" s="125" t="n"/>
      <c r="E42" s="132" t="n">
        <v>1</v>
      </c>
    </row>
    <row r="43">
      <c r="A43" s="126" t="n"/>
      <c r="B43" s="124" t="inlineStr">
        <is>
          <t>MP2</t>
        </is>
      </c>
      <c r="C43" s="124" t="inlineStr">
        <is>
          <t>(blank)</t>
        </is>
      </c>
      <c r="D43" s="125" t="n"/>
      <c r="E43" s="132" t="n">
        <v>1</v>
      </c>
    </row>
    <row r="44">
      <c r="A44" s="126" t="n"/>
      <c r="B44" s="124" t="inlineStr">
        <is>
          <t>Multi DNC</t>
        </is>
      </c>
      <c r="C44" s="124" t="inlineStr">
        <is>
          <t>Manufacturing Software- Send/Receive MFG jobs to CNC machines</t>
        </is>
      </c>
      <c r="D44" s="125" t="n"/>
      <c r="E44" s="132" t="n">
        <v>1</v>
      </c>
    </row>
    <row r="45">
      <c r="A45" s="126" t="n"/>
      <c r="B45" s="124" t="inlineStr">
        <is>
          <t>MultiVAC Biopatch</t>
        </is>
      </c>
      <c r="C45" s="124" t="inlineStr">
        <is>
          <t>(blank)</t>
        </is>
      </c>
      <c r="D45" s="125" t="n"/>
      <c r="E45" s="132" t="n">
        <v>1</v>
      </c>
    </row>
    <row r="46">
      <c r="A46" s="126" t="n"/>
      <c r="B46" s="124" t="inlineStr">
        <is>
          <t>NEWMAINT</t>
        </is>
      </c>
      <c r="C46" s="124" t="inlineStr">
        <is>
          <t>(blank)</t>
        </is>
      </c>
      <c r="D46" s="125" t="n"/>
      <c r="E46" s="132" t="n">
        <v>1</v>
      </c>
    </row>
    <row r="47">
      <c r="A47" s="126" t="n"/>
      <c r="B47" s="124" t="inlineStr">
        <is>
          <t>NiceLabel</t>
        </is>
      </c>
      <c r="C47" s="124" t="inlineStr">
        <is>
          <t>(blank)</t>
        </is>
      </c>
      <c r="D47" s="125" t="n"/>
      <c r="E47" s="132" t="n">
        <v>1</v>
      </c>
    </row>
    <row r="48">
      <c r="A48" s="126" t="n"/>
      <c r="B48" s="124" t="inlineStr">
        <is>
          <t>OPTI-DRY</t>
        </is>
      </c>
      <c r="C48" s="124" t="inlineStr">
        <is>
          <t>Marked for deletetion</t>
        </is>
      </c>
      <c r="D48" s="125" t="n"/>
      <c r="E48" s="132" t="n">
        <v>1</v>
      </c>
    </row>
    <row r="49">
      <c r="A49" s="126" t="n"/>
      <c r="B49" s="124" t="inlineStr">
        <is>
          <t>PCDmis</t>
        </is>
      </c>
      <c r="C49" s="124" t="inlineStr">
        <is>
          <t>Marked for deletetion</t>
        </is>
      </c>
      <c r="D49" s="125" t="n"/>
      <c r="E49" s="132" t="n">
        <v>1</v>
      </c>
    </row>
    <row r="50">
      <c r="A50" s="126" t="n"/>
      <c r="B50" s="124" t="inlineStr">
        <is>
          <t>PrimoDVD</t>
        </is>
      </c>
      <c r="C50" s="124" t="inlineStr">
        <is>
          <t>(blank)</t>
        </is>
      </c>
      <c r="D50" s="125" t="n"/>
      <c r="E50" s="132" t="n">
        <v>1</v>
      </c>
    </row>
    <row r="51">
      <c r="A51" s="126" t="n"/>
      <c r="B51" s="124" t="inlineStr">
        <is>
          <t>PRODOC98 (Jarit)</t>
        </is>
      </c>
      <c r="C51" s="124" t="inlineStr">
        <is>
          <t>(blank)</t>
        </is>
      </c>
      <c r="D51" s="125" t="n"/>
      <c r="E51" s="132" t="n">
        <v>1</v>
      </c>
    </row>
    <row r="52">
      <c r="A52" s="126" t="n"/>
      <c r="B52" s="124" t="inlineStr">
        <is>
          <t>Renishaw Ballbar 20</t>
        </is>
      </c>
      <c r="C52" s="124" t="inlineStr">
        <is>
          <t>Manufacturing Analytics. Marked for deletetion</t>
        </is>
      </c>
      <c r="D52" s="125" t="n"/>
      <c r="E52" s="132" t="n">
        <v>1</v>
      </c>
    </row>
    <row r="53">
      <c r="A53" s="126" t="n"/>
      <c r="B53" s="124" t="inlineStr">
        <is>
          <t>Sage HTK Etiketten</t>
        </is>
      </c>
      <c r="C53" s="124" t="inlineStr">
        <is>
          <t>(blank)</t>
        </is>
      </c>
      <c r="D53" s="125" t="n"/>
      <c r="E53" s="132" t="n">
        <v>1</v>
      </c>
    </row>
    <row r="54">
      <c r="A54" s="126" t="n"/>
      <c r="B54" s="124" t="inlineStr">
        <is>
          <t>SCADA</t>
        </is>
      </c>
      <c r="C54" s="124" t="inlineStr">
        <is>
          <t>(blank)</t>
        </is>
      </c>
      <c r="D54" s="125" t="n"/>
      <c r="E54" s="132" t="n">
        <v>1</v>
      </c>
    </row>
    <row r="55">
      <c r="A55" s="126" t="n"/>
      <c r="B55" s="124" t="inlineStr">
        <is>
          <t>SCADA (iFix)</t>
        </is>
      </c>
      <c r="C55" s="124" t="inlineStr">
        <is>
          <t>(blank)</t>
        </is>
      </c>
      <c r="D55" s="125" t="n"/>
      <c r="E55" s="132" t="n">
        <v>1</v>
      </c>
    </row>
    <row r="56">
      <c r="A56" s="126" t="n"/>
      <c r="B56" s="124" t="inlineStr">
        <is>
          <t>SS/BE Abile</t>
        </is>
      </c>
      <c r="C56" s="124" t="inlineStr">
        <is>
          <t>MFG part editor</t>
        </is>
      </c>
      <c r="D56" s="125" t="n"/>
      <c r="E56" s="132" t="n">
        <v>1</v>
      </c>
    </row>
    <row r="57">
      <c r="A57" s="126" t="n"/>
      <c r="B57" s="124" t="inlineStr">
        <is>
          <t>SureThing CD Labeler</t>
        </is>
      </c>
      <c r="C57" s="124" t="inlineStr">
        <is>
          <t>Marked for deletetion</t>
        </is>
      </c>
      <c r="D57" s="125" t="n"/>
      <c r="E57" s="132" t="n">
        <v>1</v>
      </c>
    </row>
    <row r="58">
      <c r="A58" s="126" t="n"/>
      <c r="B58" s="124" t="inlineStr">
        <is>
          <t>SurfCAM</t>
        </is>
      </c>
      <c r="C58" s="124" t="inlineStr">
        <is>
          <t>CAD- Product designs and drawings.</t>
        </is>
      </c>
      <c r="D58" s="125" t="n"/>
      <c r="E58" s="132" t="n">
        <v>1</v>
      </c>
    </row>
    <row r="59">
      <c r="A59" s="126" t="n"/>
      <c r="B59" s="124" t="inlineStr">
        <is>
          <t>ThreadTech</t>
        </is>
      </c>
      <c r="C59" s="124" t="inlineStr">
        <is>
          <t>apparel production and development</t>
        </is>
      </c>
      <c r="D59" s="125" t="n"/>
      <c r="E59" s="132" t="n">
        <v>1</v>
      </c>
    </row>
    <row r="60">
      <c r="A60" s="126" t="n"/>
      <c r="B60" s="124" t="inlineStr">
        <is>
          <t>VLC media player 1.1.8</t>
        </is>
      </c>
      <c r="C60" s="124" t="inlineStr">
        <is>
          <t>(blank)</t>
        </is>
      </c>
      <c r="D60" s="125" t="n"/>
      <c r="E60" s="132" t="n">
        <v>1</v>
      </c>
    </row>
    <row r="61">
      <c r="A61" s="126" t="n"/>
      <c r="B61" s="124" t="inlineStr">
        <is>
          <t>Water Stystem</t>
        </is>
      </c>
      <c r="C61" s="124" t="inlineStr">
        <is>
          <t>Manufacturing software in PR</t>
        </is>
      </c>
      <c r="D61" s="125" t="n"/>
      <c r="E61" s="132" t="n">
        <v>1</v>
      </c>
    </row>
    <row r="62">
      <c r="A62" s="126" t="n"/>
      <c r="B62" s="124" t="inlineStr">
        <is>
          <t>WinCNC 2000</t>
        </is>
      </c>
      <c r="C62" s="124" t="inlineStr">
        <is>
          <t>MFG part editor</t>
        </is>
      </c>
      <c r="D62" s="125" t="n"/>
      <c r="E62" s="132" t="n">
        <v>1</v>
      </c>
    </row>
    <row r="63">
      <c r="A63" s="126" t="n"/>
      <c r="B63" s="124" t="inlineStr">
        <is>
          <t>Wonderware</t>
        </is>
      </c>
      <c r="C63" s="124" t="inlineStr">
        <is>
          <t>Manafacturing solutions- UK</t>
        </is>
      </c>
      <c r="D63" s="125" t="n"/>
      <c r="E63" s="132" t="n">
        <v>1</v>
      </c>
    </row>
    <row r="64">
      <c r="A64" s="126" t="n"/>
      <c r="B64" s="124" t="inlineStr">
        <is>
          <t>Yokogawa Paperless Printer</t>
        </is>
      </c>
      <c r="C64" s="124" t="inlineStr">
        <is>
          <t>PR software for manufacturing</t>
        </is>
      </c>
      <c r="D64" s="125" t="n"/>
      <c r="E64" s="132" t="n">
        <v>1</v>
      </c>
    </row>
    <row r="65">
      <c r="A65" s="124" t="inlineStr">
        <is>
          <t>Manufacturing Total</t>
        </is>
      </c>
      <c r="B65" s="125" t="n"/>
      <c r="C65" s="125" t="n"/>
      <c r="D65" s="125" t="n"/>
      <c r="E65" s="132" t="n">
        <v>62</v>
      </c>
    </row>
    <row r="66">
      <c r="A66" s="124" t="inlineStr">
        <is>
          <t>Finance</t>
        </is>
      </c>
      <c r="B66" s="124" t="inlineStr">
        <is>
          <t>(SAP) - Business Planning and Consolidation (BPC)</t>
        </is>
      </c>
      <c r="C66" s="124" t="inlineStr">
        <is>
          <t>Utilized for financial management, reporting, budgeting and forecasting. About ~75 users currently use BPC.
The reporting output of the tool is used outside of Finance, including the ELT.</t>
        </is>
      </c>
      <c r="D66" s="125" t="n"/>
      <c r="E66" s="132" t="n">
        <v>1</v>
      </c>
    </row>
    <row r="67">
      <c r="A67" s="126" t="n"/>
      <c r="B67" s="124" t="inlineStr">
        <is>
          <t>AppZen</t>
        </is>
      </c>
      <c r="C67" s="124" t="inlineStr">
        <is>
          <t>Provides expense auditing and automated processes software to improve compliance and efficiency in business expenses management.</t>
        </is>
      </c>
      <c r="D67" s="125" t="n"/>
      <c r="E67" s="132" t="n">
        <v>1</v>
      </c>
    </row>
    <row r="68">
      <c r="A68" s="126" t="n"/>
      <c r="B68" s="124" t="inlineStr">
        <is>
          <t>Bank of America (BOA) - Oracle FTP file transfer service</t>
        </is>
      </c>
      <c r="C68" s="124" t="inlineStr">
        <is>
          <t>Processes customer payments and includes customer banking information. Need to confirm how many customers are EMEA.</t>
        </is>
      </c>
      <c r="D68" s="125" t="n"/>
      <c r="E68" s="132" t="n">
        <v>1</v>
      </c>
    </row>
    <row r="69">
      <c r="A69" s="126" t="n"/>
      <c r="B69" s="124" t="inlineStr">
        <is>
          <t>Blackline</t>
        </is>
      </c>
      <c r="C69" s="124" t="inlineStr">
        <is>
          <t>Accounting account reconciliation</t>
        </is>
      </c>
      <c r="D69" s="125" t="n"/>
      <c r="E69" s="132" t="n">
        <v>1</v>
      </c>
    </row>
    <row r="70">
      <c r="A70" s="126" t="n"/>
      <c r="B70" s="124" t="inlineStr">
        <is>
          <t>Cash-Pro Online</t>
        </is>
      </c>
      <c r="C70" s="124" t="inlineStr">
        <is>
          <t>digital platform for payments, receipts, liquidity, investments, FX and trade</t>
        </is>
      </c>
      <c r="D70" s="125" t="n"/>
      <c r="E70" s="132" t="n">
        <v>1</v>
      </c>
    </row>
    <row r="71">
      <c r="A71" s="126" t="n"/>
      <c r="B71" s="124" t="inlineStr">
        <is>
          <t>Concur</t>
        </is>
      </c>
      <c r="C71" s="124" t="inlineStr">
        <is>
          <t>does not yet include reciept images</t>
        </is>
      </c>
      <c r="D71" s="125" t="n"/>
      <c r="E71" s="132" t="n">
        <v>1</v>
      </c>
    </row>
    <row r="72">
      <c r="A72" s="126" t="n"/>
      <c r="B72" s="124" t="inlineStr">
        <is>
          <t>Concur (SAP)</t>
        </is>
      </c>
      <c r="C72" s="124" t="inlineStr">
        <is>
          <t>Travel &amp; Expense</t>
        </is>
      </c>
      <c r="D72" s="125" t="n"/>
      <c r="E72" s="132" t="n">
        <v>1</v>
      </c>
    </row>
    <row r="73">
      <c r="A73" s="126" t="n"/>
      <c r="B73" s="124" t="inlineStr">
        <is>
          <t>Crystal Reports</t>
        </is>
      </c>
      <c r="C73" s="124" t="inlineStr">
        <is>
          <t>Marked for deletetion</t>
        </is>
      </c>
      <c r="D73" s="125" t="n"/>
      <c r="E73" s="132" t="n">
        <v>1</v>
      </c>
    </row>
    <row r="74">
      <c r="A74" s="126" t="n"/>
      <c r="B74" s="124" t="inlineStr">
        <is>
          <t>DATEV</t>
        </is>
      </c>
      <c r="C74" s="124" t="inlineStr">
        <is>
          <t>(blank)</t>
        </is>
      </c>
      <c r="D74" s="125" t="n"/>
      <c r="E74" s="132" t="n">
        <v>1</v>
      </c>
    </row>
    <row r="75">
      <c r="A75" s="126" t="n"/>
      <c r="B75" s="124" t="inlineStr">
        <is>
          <t>DEFMACRO SOFTWARE PRIVATE LTD</t>
        </is>
      </c>
      <c r="C75" s="124" t="inlineStr">
        <is>
          <t>Tax, e-invoicing, compliance, and finance automation software/services.</t>
        </is>
      </c>
      <c r="D75" s="125" t="n"/>
      <c r="E75" s="132" t="n">
        <v>1</v>
      </c>
    </row>
    <row r="76">
      <c r="A76" s="126" t="n"/>
      <c r="B76" s="124" t="inlineStr">
        <is>
          <t>Deutshe Bank - Oracle FTP File Transfer</t>
        </is>
      </c>
      <c r="C76" s="124" t="inlineStr">
        <is>
          <t>(blank)</t>
        </is>
      </c>
      <c r="D76" s="125" t="n"/>
      <c r="E76" s="132" t="n">
        <v>1</v>
      </c>
    </row>
    <row r="77">
      <c r="A77" s="126" t="n"/>
      <c r="B77" s="124" t="inlineStr">
        <is>
          <t>Epicor ERP</t>
        </is>
      </c>
      <c r="C77" s="124" t="inlineStr">
        <is>
          <t>enterprise resource planning (ERP) system</t>
        </is>
      </c>
      <c r="D77" s="125" t="n"/>
      <c r="E77" s="132" t="n">
        <v>1</v>
      </c>
    </row>
    <row r="78">
      <c r="A78" s="126" t="n"/>
      <c r="B78" s="124" t="inlineStr">
        <is>
          <t>Epicor Maintenance</t>
        </is>
      </c>
      <c r="C78" s="124" t="inlineStr">
        <is>
          <t>Enterprise mantainence management</t>
        </is>
      </c>
      <c r="D78" s="125" t="n"/>
      <c r="E78" s="132" t="n">
        <v>1</v>
      </c>
    </row>
    <row r="79">
      <c r="A79" s="126" t="n"/>
      <c r="B79" s="124" t="inlineStr">
        <is>
          <t>Epicor Report Wizard</t>
        </is>
      </c>
      <c r="C79" s="124" t="inlineStr">
        <is>
          <t>financial records?</t>
        </is>
      </c>
      <c r="D79" s="125" t="n"/>
      <c r="E79" s="132" t="n">
        <v>1</v>
      </c>
    </row>
    <row r="80">
      <c r="A80" s="126" t="n"/>
      <c r="B80" s="124" t="inlineStr">
        <is>
          <t>Esker</t>
        </is>
      </c>
      <c r="C80" s="124" t="inlineStr">
        <is>
          <t>Customer Order integration</t>
        </is>
      </c>
      <c r="D80" s="125" t="n"/>
      <c r="E80" s="132" t="n">
        <v>1</v>
      </c>
    </row>
    <row r="81">
      <c r="A81" s="126" t="n"/>
      <c r="B81" s="124" t="inlineStr">
        <is>
          <t>Exact Globe</t>
        </is>
      </c>
      <c r="C81" s="124" t="inlineStr">
        <is>
          <t>Finance and ERP (enterprise resourse planning) software</t>
        </is>
      </c>
      <c r="D81" s="125" t="n"/>
      <c r="E81" s="132" t="n">
        <v>1</v>
      </c>
    </row>
    <row r="82">
      <c r="A82" s="126" t="n"/>
      <c r="B82" s="124" t="inlineStr">
        <is>
          <t>ExpenseWatch</t>
        </is>
      </c>
      <c r="C82" s="124" t="inlineStr">
        <is>
          <t>modules for Expense Reports, Purchasing and Payable Invoices</t>
        </is>
      </c>
      <c r="D82" s="125" t="n"/>
      <c r="E82" s="132" t="n">
        <v>1</v>
      </c>
    </row>
    <row r="83">
      <c r="A83" s="126" t="n"/>
      <c r="B83" s="124" t="inlineStr">
        <is>
          <t>FINANCE PLUS</t>
        </is>
      </c>
      <c r="C83" s="124" t="inlineStr">
        <is>
          <t>Old Australia &amp; New Zealand financial system, replaced by Oracle</t>
        </is>
      </c>
      <c r="D83" s="125" t="n"/>
      <c r="E83" s="132" t="n">
        <v>1</v>
      </c>
    </row>
    <row r="84">
      <c r="A84" s="126" t="n"/>
      <c r="B84" s="124" t="inlineStr">
        <is>
          <t>Hyperion</t>
        </is>
      </c>
      <c r="C84" s="124" t="inlineStr">
        <is>
          <t>Work consolidation tool for financial reporting for global consolidation for purposes of reporting quarterly and annual results. In the form of the 10Q and 10K. Gets information from Oracle and Movex, and feeds into BPC. 5/10/2023: We will be converting our BPC and Hyperion applications to OneStream (not Oracle). The project is set to kick off over the next few weeks, and currently anticipated to go live in Q1 2024.</t>
        </is>
      </c>
      <c r="D84" s="125" t="n"/>
      <c r="E84" s="132" t="n">
        <v>1</v>
      </c>
    </row>
    <row r="85">
      <c r="A85" s="126" t="n"/>
      <c r="B85" s="124" t="inlineStr">
        <is>
          <t>Hyperion Financial management</t>
        </is>
      </c>
      <c r="C85" s="124" t="inlineStr">
        <is>
          <t>(blank)</t>
        </is>
      </c>
      <c r="D85" s="125" t="n"/>
      <c r="E85" s="132" t="n">
        <v>1</v>
      </c>
    </row>
    <row r="86">
      <c r="A86" s="126" t="n"/>
      <c r="B86" s="124" t="inlineStr">
        <is>
          <t>Hyperion SmartView</t>
        </is>
      </c>
      <c r="C86" s="124" t="inlineStr">
        <is>
          <t>(blank)</t>
        </is>
      </c>
      <c r="D86" s="125" t="n"/>
      <c r="E86" s="132" t="n">
        <v>1</v>
      </c>
    </row>
    <row r="87">
      <c r="A87" s="126" t="n"/>
      <c r="B87" s="124" t="inlineStr">
        <is>
          <t>JP Morgan</t>
        </is>
      </c>
      <c r="C87" s="124" t="inlineStr">
        <is>
          <t>(blank)</t>
        </is>
      </c>
      <c r="D87" s="125" t="n"/>
      <c r="E87" s="132" t="n">
        <v>1</v>
      </c>
    </row>
    <row r="88">
      <c r="A88" s="126" t="n"/>
      <c r="B88" s="124" t="inlineStr">
        <is>
          <t>Lexware Personal Premium</t>
        </is>
      </c>
      <c r="C88" s="124" t="inlineStr">
        <is>
          <t>(blank)</t>
        </is>
      </c>
      <c r="D88" s="125" t="n"/>
      <c r="E88" s="132" t="n">
        <v>1</v>
      </c>
    </row>
    <row r="89">
      <c r="A89" s="126" t="n"/>
      <c r="B89" s="124" t="inlineStr">
        <is>
          <t>Lexware Reisekosten</t>
        </is>
      </c>
      <c r="C89" s="124" t="inlineStr">
        <is>
          <t>(blank)</t>
        </is>
      </c>
      <c r="D89" s="125" t="n"/>
      <c r="E89" s="132" t="n">
        <v>1</v>
      </c>
    </row>
    <row r="90">
      <c r="A90" s="126" t="n"/>
      <c r="B90" s="124" t="inlineStr">
        <is>
          <t>Lockbox Server for Bank of America Check Viewing</t>
        </is>
      </c>
      <c r="C90" s="124" t="inlineStr">
        <is>
          <t>All sales in the US paid by checks are sent to BoA to our Integra lockbox. This server runs a job that pulls the data from BoA daily and feeds into Oracle. Jobs run around 2am EST (verify job schedule).
If the system is down during the weekend, it will not have a business impact.
Maximum of 16-20hrs of downtime can be tolerated, not 24 hrs.</t>
        </is>
      </c>
      <c r="D90" s="125" t="n"/>
      <c r="E90" s="132" t="n">
        <v>1</v>
      </c>
    </row>
    <row r="91">
      <c r="A91" s="126" t="n"/>
      <c r="B91" s="124" t="inlineStr">
        <is>
          <t>MAS200</t>
        </is>
      </c>
      <c r="C91" s="124" t="inlineStr">
        <is>
          <t>Sage ERP used in Boston</t>
        </is>
      </c>
      <c r="D91" s="125" t="n"/>
      <c r="E91" s="132" t="n">
        <v>1</v>
      </c>
    </row>
    <row r="92">
      <c r="A92" s="126" t="n"/>
      <c r="B92" s="124" t="inlineStr">
        <is>
          <t>MOVEX</t>
        </is>
      </c>
      <c r="C92" s="124" t="inlineStr">
        <is>
          <t>(blank)</t>
        </is>
      </c>
      <c r="D92" s="125" t="n"/>
      <c r="E92" s="132" t="n">
        <v>1</v>
      </c>
    </row>
    <row r="93">
      <c r="A93" s="126" t="n"/>
      <c r="B93" s="124" t="inlineStr">
        <is>
          <t>Mysys</t>
        </is>
      </c>
      <c r="C93" s="124" t="inlineStr">
        <is>
          <t>No longer used but server it runs on is active for historical data</t>
        </is>
      </c>
      <c r="D93" s="125" t="n"/>
      <c r="E93" s="132" t="n">
        <v>1</v>
      </c>
    </row>
    <row r="94">
      <c r="A94" s="126" t="n"/>
      <c r="B94" s="124" t="inlineStr">
        <is>
          <t>OneSource</t>
        </is>
      </c>
      <c r="C94" s="124" t="inlineStr">
        <is>
          <t>Transfer price solution</t>
        </is>
      </c>
      <c r="D94" s="125" t="n"/>
      <c r="E94" s="132" t="n">
        <v>1</v>
      </c>
    </row>
    <row r="95">
      <c r="A95" s="126" t="n"/>
      <c r="B95" s="124" t="inlineStr">
        <is>
          <t>OneStream</t>
        </is>
      </c>
      <c r="C95" s="124" t="inlineStr">
        <is>
          <t>Consolidation &amp; budgeting solution</t>
        </is>
      </c>
      <c r="D95" s="125" t="n"/>
      <c r="E95" s="132" t="n">
        <v>1</v>
      </c>
    </row>
    <row r="96">
      <c r="A96" s="126" t="n"/>
      <c r="B96" s="124" t="inlineStr">
        <is>
          <t>OUTLOOKSOFT/SAP-BPC</t>
        </is>
      </c>
      <c r="C96" s="124" t="inlineStr">
        <is>
          <t>(blank)</t>
        </is>
      </c>
      <c r="D96" s="125" t="n"/>
      <c r="E96" s="132" t="n">
        <v>1</v>
      </c>
    </row>
    <row r="97">
      <c r="A97" s="126" t="n"/>
      <c r="B97" s="124" t="inlineStr">
        <is>
          <t>PRICEWATERHOUSECOOPERS LTD</t>
        </is>
      </c>
      <c r="C97" s="124" t="inlineStr">
        <is>
          <t>Audit, tax, consulting, risk, and advisory services.</t>
        </is>
      </c>
      <c r="D97" s="124" t="inlineStr">
        <is>
          <t>2026 LOB IT Vendor List</t>
        </is>
      </c>
      <c r="E97" s="132" t="n">
        <v>1</v>
      </c>
    </row>
    <row r="98">
      <c r="A98" s="126" t="n"/>
      <c r="B98" s="124" t="inlineStr">
        <is>
          <t>PRMS/AS400</t>
        </is>
      </c>
      <c r="C98" s="124" t="inlineStr">
        <is>
          <t>retired?</t>
        </is>
      </c>
      <c r="D98" s="125" t="n"/>
      <c r="E98" s="132" t="n">
        <v>1</v>
      </c>
    </row>
    <row r="99">
      <c r="A99" s="126" t="n"/>
      <c r="B99" s="124" t="inlineStr">
        <is>
          <t>QAD</t>
        </is>
      </c>
      <c r="C99" s="124" t="inlineStr">
        <is>
          <t>Acclarent QAD solution</t>
        </is>
      </c>
      <c r="D99" s="125" t="n"/>
      <c r="E99" s="132" t="n">
        <v>1</v>
      </c>
    </row>
    <row r="100">
      <c r="A100" s="126" t="n"/>
      <c r="B100" s="124" t="inlineStr">
        <is>
          <t>RESEARCH APPLICATION AND FINANCIAL TRACKING INC</t>
        </is>
      </c>
      <c r="C100" s="124" t="inlineStr">
        <is>
          <t>Research administration and grant/financial tracking software/services.</t>
        </is>
      </c>
      <c r="D100" s="125" t="n"/>
      <c r="E100" s="132" t="n">
        <v>1</v>
      </c>
    </row>
    <row r="101">
      <c r="A101" s="126" t="n"/>
      <c r="B101" s="124" t="inlineStr">
        <is>
          <t>Ross ERP</t>
        </is>
      </c>
      <c r="C101" s="124" t="inlineStr">
        <is>
          <t>ERP (enterprise resource planning)</t>
        </is>
      </c>
      <c r="D101" s="125" t="n"/>
      <c r="E101" s="132" t="n">
        <v>1</v>
      </c>
    </row>
    <row r="102">
      <c r="A102" s="126" t="n"/>
      <c r="B102" s="124" t="inlineStr">
        <is>
          <t>RYAN LLC</t>
        </is>
      </c>
      <c r="C102" s="124" t="inlineStr">
        <is>
          <t>Tax advisory, compliance, recovery, and tax technology/software services.</t>
        </is>
      </c>
      <c r="D102" s="125" t="n"/>
      <c r="E102" s="132" t="n">
        <v>1</v>
      </c>
    </row>
    <row r="103">
      <c r="A103" s="126" t="n"/>
      <c r="B103" s="124" t="inlineStr">
        <is>
          <t>Sabrix (tax determination) Thompson Reuters</t>
        </is>
      </c>
      <c r="C103" s="124" t="inlineStr">
        <is>
          <t>(blank)</t>
        </is>
      </c>
      <c r="D103" s="125" t="n"/>
      <c r="E103" s="132" t="n">
        <v>1</v>
      </c>
    </row>
    <row r="104">
      <c r="A104" s="126" t="n"/>
      <c r="B104" s="124" t="inlineStr">
        <is>
          <t>Sage &amp; Mysis (App/SQL DB)</t>
        </is>
      </c>
      <c r="C104" s="124" t="inlineStr">
        <is>
          <t>*Citrix is required for Sage and Mysis users to access the system.
DS-NJP-SQL001. GAMP 4 (MISYS)</t>
        </is>
      </c>
      <c r="D104" s="125" t="n"/>
      <c r="E104" s="132" t="n">
        <v>1</v>
      </c>
    </row>
    <row r="105">
      <c r="A105" s="126" t="n"/>
      <c r="B105" s="124" t="inlineStr">
        <is>
          <t>SAGE 300 (formerly ACCPAC)</t>
        </is>
      </c>
      <c r="C105" s="124" t="inlineStr">
        <is>
          <t>(blank)</t>
        </is>
      </c>
      <c r="D105" s="125" t="n"/>
      <c r="E105" s="132" t="n">
        <v>1</v>
      </c>
    </row>
    <row r="106">
      <c r="A106" s="126" t="n"/>
      <c r="B106" s="124" t="inlineStr">
        <is>
          <t>SAGE FixAsset</t>
        </is>
      </c>
      <c r="C106" s="124" t="inlineStr">
        <is>
          <t>(blank)</t>
        </is>
      </c>
      <c r="D106" s="125" t="n"/>
      <c r="E106" s="132" t="n">
        <v>1</v>
      </c>
    </row>
    <row r="107">
      <c r="A107" s="126" t="n"/>
      <c r="B107" s="124" t="inlineStr">
        <is>
          <t>SAGE KHK OL4.2</t>
        </is>
      </c>
      <c r="C107" s="124" t="inlineStr">
        <is>
          <t>(blank)</t>
        </is>
      </c>
      <c r="D107" s="125" t="n"/>
      <c r="E107" s="132" t="n">
        <v>1</v>
      </c>
    </row>
    <row r="108">
      <c r="A108" s="126" t="n"/>
      <c r="B108" s="124" t="inlineStr">
        <is>
          <t>Sovos</t>
        </is>
      </c>
      <c r="C108" s="124" t="inlineStr">
        <is>
          <t>Software purchased to manage Integra's 1099's.</t>
        </is>
      </c>
      <c r="D108" s="125" t="n"/>
      <c r="E108" s="132" t="n">
        <v>1</v>
      </c>
    </row>
    <row r="109">
      <c r="A109" s="126" t="n"/>
      <c r="B109" s="124" t="inlineStr">
        <is>
          <t>Surgisoft FTP</t>
        </is>
      </c>
      <c r="C109" s="124" t="inlineStr">
        <is>
          <t>Marked for deletetion</t>
        </is>
      </c>
      <c r="D109" s="125" t="n"/>
      <c r="E109" s="132" t="n">
        <v>1</v>
      </c>
    </row>
    <row r="110">
      <c r="A110" s="126" t="n"/>
      <c r="B110" s="124" t="inlineStr">
        <is>
          <t>Web Filings</t>
        </is>
      </c>
      <c r="C110" s="124" t="inlineStr">
        <is>
          <t>Workiva?</t>
        </is>
      </c>
      <c r="D110" s="125" t="n"/>
      <c r="E110" s="132" t="n">
        <v>1</v>
      </c>
    </row>
    <row r="111">
      <c r="A111" s="126" t="n"/>
      <c r="B111" s="124" t="inlineStr">
        <is>
          <t>Workiva</t>
        </is>
      </c>
      <c r="C111" s="124" t="inlineStr">
        <is>
          <t>ESG platform</t>
        </is>
      </c>
      <c r="D111" s="125" t="n"/>
      <c r="E111" s="132" t="n">
        <v>1</v>
      </c>
    </row>
    <row r="112">
      <c r="A112" s="126" t="n"/>
      <c r="B112" s="124" t="inlineStr">
        <is>
          <t>上海爱信诺航天信息有限公司</t>
        </is>
      </c>
      <c r="C112" s="124" t="inlineStr">
        <is>
          <t>Tax invoicing, enterprise software, and IT services (Aisino/Aerospace Information).</t>
        </is>
      </c>
      <c r="D112" s="125" t="n"/>
      <c r="E112" s="132" t="n">
        <v>1</v>
      </c>
    </row>
    <row r="113">
      <c r="A113" s="124" t="inlineStr">
        <is>
          <t>Finance Total</t>
        </is>
      </c>
      <c r="B113" s="125" t="n"/>
      <c r="C113" s="125" t="n"/>
      <c r="D113" s="125" t="n"/>
      <c r="E113" s="132" t="n">
        <v>47</v>
      </c>
    </row>
    <row r="114">
      <c r="A114" s="124" t="inlineStr">
        <is>
          <t>Clinical Manufacturing Process</t>
        </is>
      </c>
      <c r="B114" s="124" t="inlineStr">
        <is>
          <t>Agilent Resolutions Pro</t>
        </is>
      </c>
      <c r="C114" s="124" t="inlineStr">
        <is>
          <t>R&amp;D application that houses study results without patient or sensitive information.</t>
        </is>
      </c>
      <c r="D114" s="125" t="n"/>
      <c r="E114" s="132" t="n">
        <v>1</v>
      </c>
    </row>
    <row r="115">
      <c r="A115" s="126" t="n"/>
      <c r="B115" s="124" t="inlineStr">
        <is>
          <t>CaryWIn UV</t>
        </is>
      </c>
      <c r="C115" s="124" t="inlineStr">
        <is>
          <t>(blank)</t>
        </is>
      </c>
      <c r="D115" s="125" t="n"/>
      <c r="E115" s="132" t="n">
        <v>1</v>
      </c>
    </row>
    <row r="116">
      <c r="A116" s="126" t="n"/>
      <c r="B116" s="124" t="inlineStr">
        <is>
          <t>CheckPoint</t>
        </is>
      </c>
      <c r="C116" s="124" t="inlineStr">
        <is>
          <t>(blank)</t>
        </is>
      </c>
      <c r="D116" s="125" t="n"/>
      <c r="E116" s="132" t="n">
        <v>1</v>
      </c>
    </row>
    <row r="117">
      <c r="A117" s="126" t="n"/>
      <c r="B117" s="124" t="inlineStr">
        <is>
          <t>Chromeleon</t>
        </is>
      </c>
      <c r="C117" s="124" t="inlineStr">
        <is>
          <t>Manufacturing software in NJ</t>
        </is>
      </c>
      <c r="D117" s="125" t="n"/>
      <c r="E117" s="132" t="n">
        <v>1</v>
      </c>
    </row>
    <row r="118">
      <c r="A118" s="126" t="n"/>
      <c r="B118" s="126" t="n"/>
      <c r="C118" s="124" t="inlineStr">
        <is>
          <t>Marked for deletetion</t>
        </is>
      </c>
      <c r="D118" s="125" t="n"/>
      <c r="E118" s="132" t="n">
        <v>1</v>
      </c>
    </row>
    <row r="119">
      <c r="A119" s="126" t="n"/>
      <c r="B119" s="124" t="inlineStr">
        <is>
          <t>Codis Excelerator</t>
        </is>
      </c>
      <c r="C119" s="124" t="inlineStr">
        <is>
          <t>(blank)</t>
        </is>
      </c>
      <c r="D119" s="125" t="n"/>
      <c r="E119" s="132" t="n">
        <v>1</v>
      </c>
    </row>
    <row r="120">
      <c r="A120" s="126" t="n"/>
      <c r="B120" s="124" t="inlineStr">
        <is>
          <t>Computrac</t>
        </is>
      </c>
      <c r="C120" s="124" t="inlineStr">
        <is>
          <t>(blank)</t>
        </is>
      </c>
      <c r="D120" s="125" t="n"/>
      <c r="E120" s="132" t="n">
        <v>1</v>
      </c>
    </row>
    <row r="121">
      <c r="A121" s="126" t="n"/>
      <c r="B121" s="124" t="inlineStr">
        <is>
          <t>DRAGER SCHWEIZ AG</t>
        </is>
      </c>
      <c r="C121" s="124" t="inlineStr">
        <is>
          <t>Medical and safety equipment plus maintenance, service, and training.</t>
        </is>
      </c>
      <c r="D121" s="125" t="n"/>
      <c r="E121" s="132" t="n">
        <v>1</v>
      </c>
    </row>
    <row r="122">
      <c r="A122" s="126" t="n"/>
      <c r="B122" s="124" t="inlineStr">
        <is>
          <t>EAGLE VISION</t>
        </is>
      </c>
      <c r="C122" s="124" t="inlineStr">
        <is>
          <t>Microscope software</t>
        </is>
      </c>
      <c r="D122" s="125" t="n"/>
      <c r="E122" s="132" t="n">
        <v>1</v>
      </c>
    </row>
    <row r="123">
      <c r="A123" s="126" t="n"/>
      <c r="B123" s="124" t="inlineStr">
        <is>
          <t>EDAX GENESIS</t>
        </is>
      </c>
      <c r="C123" s="124" t="inlineStr">
        <is>
          <t>(blank)</t>
        </is>
      </c>
      <c r="D123" s="125" t="n"/>
      <c r="E123" s="132" t="n">
        <v>1</v>
      </c>
    </row>
    <row r="124">
      <c r="A124" s="126" t="n"/>
      <c r="B124" s="124" t="inlineStr">
        <is>
          <t>EDS-Pro</t>
        </is>
      </c>
      <c r="C124" s="124" t="inlineStr">
        <is>
          <t>(blank)</t>
        </is>
      </c>
      <c r="D124" s="125" t="n"/>
      <c r="E124" s="132" t="n">
        <v>1</v>
      </c>
    </row>
    <row r="125">
      <c r="A125" s="126" t="n"/>
      <c r="B125" s="124" t="inlineStr">
        <is>
          <t>Empower</t>
        </is>
      </c>
      <c r="C125" s="124" t="inlineStr">
        <is>
          <t>(blank)</t>
        </is>
      </c>
      <c r="D125" s="125" t="n"/>
      <c r="E125" s="132" t="n">
        <v>1</v>
      </c>
    </row>
    <row r="126">
      <c r="A126" s="126" t="n"/>
      <c r="B126" s="124" t="inlineStr">
        <is>
          <t>Flir</t>
        </is>
      </c>
      <c r="C126" s="124" t="inlineStr">
        <is>
          <t>(blank)</t>
        </is>
      </c>
      <c r="D126" s="125" t="n"/>
      <c r="E126" s="132" t="n">
        <v>1</v>
      </c>
    </row>
    <row r="127">
      <c r="A127" s="126" t="n"/>
      <c r="B127" s="124" t="inlineStr">
        <is>
          <t>GENESIS SPECTRUM (Spectrum Match)</t>
        </is>
      </c>
      <c r="C127" s="124" t="inlineStr">
        <is>
          <t>(blank)</t>
        </is>
      </c>
      <c r="D127" s="125" t="n"/>
      <c r="E127" s="132" t="n">
        <v>1</v>
      </c>
    </row>
    <row r="128">
      <c r="A128" s="126" t="n"/>
      <c r="B128" s="124" t="inlineStr">
        <is>
          <t>HOHENFORST MACHINERY CO</t>
        </is>
      </c>
      <c r="C128" s="124" t="inlineStr">
        <is>
          <t>Industrial or machinery products and related service/support.</t>
        </is>
      </c>
      <c r="D128" s="125" t="n"/>
      <c r="E128" s="132" t="n">
        <v>1</v>
      </c>
    </row>
    <row r="129">
      <c r="A129" s="126" t="n"/>
      <c r="B129" s="124" t="inlineStr">
        <is>
          <t>Image Studio</t>
        </is>
      </c>
      <c r="C129" s="124" t="inlineStr">
        <is>
          <t>(blank)</t>
        </is>
      </c>
      <c r="D129" s="125" t="n"/>
      <c r="E129" s="132" t="n">
        <v>1</v>
      </c>
    </row>
    <row r="130">
      <c r="A130" s="126" t="n"/>
      <c r="B130" s="124" t="inlineStr">
        <is>
          <t>ImageJ (Public Domain License-Freeware)</t>
        </is>
      </c>
      <c r="C130" s="124" t="inlineStr">
        <is>
          <t>(blank)</t>
        </is>
      </c>
      <c r="D130" s="125" t="n"/>
      <c r="E130" s="132" t="n">
        <v>1</v>
      </c>
    </row>
    <row r="131">
      <c r="A131" s="126" t="n"/>
      <c r="B131" s="124" t="inlineStr">
        <is>
          <t>LIMS</t>
        </is>
      </c>
      <c r="C131" s="124" t="inlineStr">
        <is>
          <t>Labratory Information Management System</t>
        </is>
      </c>
      <c r="D131" s="125" t="n"/>
      <c r="E131" s="132" t="n">
        <v>1</v>
      </c>
    </row>
    <row r="132">
      <c r="A132" s="126" t="n"/>
      <c r="B132" s="124" t="inlineStr">
        <is>
          <t>LS 13 320 SOFTWARE</t>
        </is>
      </c>
      <c r="C132" s="124" t="inlineStr">
        <is>
          <t>(blank)</t>
        </is>
      </c>
      <c r="D132" s="125" t="n"/>
      <c r="E132" s="132" t="n">
        <v>1</v>
      </c>
    </row>
    <row r="133">
      <c r="A133" s="126" t="n"/>
      <c r="B133" s="124" t="inlineStr">
        <is>
          <t>MicroLab</t>
        </is>
      </c>
      <c r="C133" s="124" t="inlineStr">
        <is>
          <t>(blank)</t>
        </is>
      </c>
      <c r="D133" s="125" t="n"/>
      <c r="E133" s="132" t="n">
        <v>1</v>
      </c>
    </row>
    <row r="134">
      <c r="A134" s="126" t="n"/>
      <c r="B134" s="124" t="inlineStr">
        <is>
          <t>Millennium32</t>
        </is>
      </c>
      <c r="C134" s="124" t="inlineStr">
        <is>
          <t>(blank)</t>
        </is>
      </c>
      <c r="D134" s="125" t="n"/>
      <c r="E134" s="132" t="n">
        <v>1</v>
      </c>
    </row>
    <row r="135">
      <c r="A135" s="126" t="n"/>
      <c r="B135" s="124" t="inlineStr">
        <is>
          <t>Nikon Comparator</t>
        </is>
      </c>
      <c r="C135" s="124" t="inlineStr">
        <is>
          <t>Compliance Comment 5.12.2022: Validation work done however it was never implemented due to a recall.</t>
        </is>
      </c>
      <c r="D135" s="125" t="n"/>
      <c r="E135" s="132" t="n">
        <v>1</v>
      </c>
    </row>
    <row r="136">
      <c r="A136" s="126" t="n"/>
      <c r="B136" s="124" t="inlineStr">
        <is>
          <t>Observer</t>
        </is>
      </c>
      <c r="C136" s="124" t="inlineStr">
        <is>
          <t>light scattering instrumentation and software for process monitoring and control</t>
        </is>
      </c>
      <c r="D136" s="125" t="n"/>
      <c r="E136" s="132" t="n">
        <v>1</v>
      </c>
    </row>
    <row r="137">
      <c r="A137" s="126" t="n"/>
      <c r="B137" s="124" t="inlineStr">
        <is>
          <t>OMNIC</t>
        </is>
      </c>
      <c r="C137" s="124" t="inlineStr">
        <is>
          <t>(blank)</t>
        </is>
      </c>
      <c r="D137" s="125" t="n"/>
      <c r="E137" s="132" t="n">
        <v>1</v>
      </c>
    </row>
    <row r="138">
      <c r="A138" s="126" t="n"/>
      <c r="B138" s="124" t="inlineStr">
        <is>
          <t>PEAK NET</t>
        </is>
      </c>
      <c r="C138" s="124" t="inlineStr">
        <is>
          <t>(blank)</t>
        </is>
      </c>
      <c r="D138" s="125" t="n"/>
      <c r="E138" s="132" t="n">
        <v>1</v>
      </c>
    </row>
    <row r="139">
      <c r="A139" s="126" t="n"/>
      <c r="B139" s="124" t="inlineStr">
        <is>
          <t>Photron FASTCAM Viewer</t>
        </is>
      </c>
      <c r="C139" s="124" t="inlineStr">
        <is>
          <t>Marked for deletetion</t>
        </is>
      </c>
      <c r="D139" s="125" t="n"/>
      <c r="E139" s="132" t="n">
        <v>1</v>
      </c>
    </row>
    <row r="140">
      <c r="A140" s="126" t="n"/>
      <c r="B140" s="124" t="inlineStr">
        <is>
          <t>Pyris ES</t>
        </is>
      </c>
      <c r="C140" s="124" t="inlineStr">
        <is>
          <t>(blank)</t>
        </is>
      </c>
      <c r="D140" s="125" t="n"/>
      <c r="E140" s="132" t="n">
        <v>1</v>
      </c>
    </row>
    <row r="141">
      <c r="A141" s="126" t="n"/>
      <c r="B141" s="124" t="inlineStr">
        <is>
          <t>PYROS EQS</t>
        </is>
      </c>
      <c r="C141" s="124" t="inlineStr">
        <is>
          <t>(blank)</t>
        </is>
      </c>
      <c r="D141" s="125" t="n"/>
      <c r="E141" s="132" t="n">
        <v>1</v>
      </c>
    </row>
    <row r="142">
      <c r="A142" s="126" t="n"/>
      <c r="B142" s="124" t="inlineStr">
        <is>
          <t>QC Pac</t>
        </is>
      </c>
      <c r="C142" s="124" t="inlineStr">
        <is>
          <t>Quality control tool to filfill regulatory requirements</t>
        </is>
      </c>
      <c r="D142" s="125" t="n"/>
      <c r="E142" s="132" t="n">
        <v>1</v>
      </c>
    </row>
    <row r="143">
      <c r="A143" s="126" t="n"/>
      <c r="B143" s="124" t="inlineStr">
        <is>
          <t>QV Pak</t>
        </is>
      </c>
      <c r="C143" s="124" t="inlineStr">
        <is>
          <t>Marked for deletetion</t>
        </is>
      </c>
      <c r="D143" s="125" t="n"/>
      <c r="E143" s="132" t="n">
        <v>1</v>
      </c>
    </row>
    <row r="144">
      <c r="A144" s="126" t="n"/>
      <c r="B144" s="124" t="inlineStr">
        <is>
          <t>Scion Image</t>
        </is>
      </c>
      <c r="C144" s="124" t="inlineStr">
        <is>
          <t>Marked for deletetion</t>
        </is>
      </c>
      <c r="D144" s="125" t="n"/>
      <c r="E144" s="132" t="n">
        <v>1</v>
      </c>
    </row>
    <row r="145">
      <c r="A145" s="126" t="n"/>
      <c r="B145" s="124" t="inlineStr">
        <is>
          <t>Series IX</t>
        </is>
      </c>
      <c r="C145" s="124" t="inlineStr">
        <is>
          <t>(blank)</t>
        </is>
      </c>
      <c r="D145" s="125" t="n"/>
      <c r="E145" s="132" t="n">
        <v>1</v>
      </c>
    </row>
    <row r="146">
      <c r="A146" s="126" t="n"/>
      <c r="B146" s="124" t="inlineStr">
        <is>
          <t>SoftMax Pro 6</t>
        </is>
      </c>
      <c r="C146" s="124" t="inlineStr">
        <is>
          <t>(blank)</t>
        </is>
      </c>
      <c r="D146" s="125" t="n"/>
      <c r="E146" s="132" t="n">
        <v>1</v>
      </c>
    </row>
    <row r="147">
      <c r="A147" s="126" t="n"/>
      <c r="B147" s="124" t="inlineStr">
        <is>
          <t>Spectroscopy Configuration Manager (SCM) Software</t>
        </is>
      </c>
      <c r="C147" s="124" t="inlineStr">
        <is>
          <t>(blank)</t>
        </is>
      </c>
      <c r="D147" s="125" t="n"/>
      <c r="E147" s="132" t="n">
        <v>1</v>
      </c>
    </row>
    <row r="148">
      <c r="A148" s="126" t="n"/>
      <c r="B148" s="124" t="inlineStr">
        <is>
          <t>STARe</t>
        </is>
      </c>
      <c r="C148" s="124" t="inlineStr">
        <is>
          <t>(blank)</t>
        </is>
      </c>
      <c r="D148" s="125" t="n"/>
      <c r="E148" s="132" t="n">
        <v>1</v>
      </c>
    </row>
    <row r="149">
      <c r="A149" s="126" t="n"/>
      <c r="B149" s="124" t="inlineStr">
        <is>
          <t>STREAM ESSENTIALS</t>
        </is>
      </c>
      <c r="C149" s="124" t="inlineStr">
        <is>
          <t>(blank)</t>
        </is>
      </c>
      <c r="D149" s="125" t="n"/>
      <c r="E149" s="132" t="n">
        <v>1</v>
      </c>
    </row>
    <row r="150">
      <c r="A150" s="126" t="n"/>
      <c r="B150" s="124" t="inlineStr">
        <is>
          <t>TA Instrument explorer</t>
        </is>
      </c>
      <c r="C150" s="124" t="inlineStr">
        <is>
          <t>(blank)</t>
        </is>
      </c>
      <c r="D150" s="125" t="n"/>
      <c r="E150" s="132" t="n">
        <v>1</v>
      </c>
    </row>
    <row r="151">
      <c r="A151" s="126" t="n"/>
      <c r="B151" s="124" t="inlineStr">
        <is>
          <t>Titrator</t>
        </is>
      </c>
      <c r="C151" s="124" t="inlineStr">
        <is>
          <t>(blank)</t>
        </is>
      </c>
      <c r="D151" s="125" t="n"/>
      <c r="E151" s="132" t="n">
        <v>1</v>
      </c>
    </row>
    <row r="152">
      <c r="A152" s="126" t="n"/>
      <c r="B152" s="124" t="inlineStr">
        <is>
          <t>TOTALCHROM</t>
        </is>
      </c>
      <c r="C152" s="124" t="inlineStr">
        <is>
          <t>(blank)</t>
        </is>
      </c>
      <c r="D152" s="125" t="n"/>
      <c r="E152" s="132" t="n">
        <v>1</v>
      </c>
    </row>
    <row r="153">
      <c r="A153" s="126" t="n"/>
      <c r="B153" s="124" t="inlineStr">
        <is>
          <t>Universal Analysis 2000</t>
        </is>
      </c>
      <c r="C153" s="124" t="inlineStr">
        <is>
          <t>(blank)</t>
        </is>
      </c>
      <c r="D153" s="125" t="n"/>
      <c r="E153" s="132" t="n">
        <v>1</v>
      </c>
    </row>
    <row r="154">
      <c r="A154" s="126" t="n"/>
      <c r="B154" s="124" t="inlineStr">
        <is>
          <t>UV WinLab</t>
        </is>
      </c>
      <c r="C154" s="124" t="inlineStr">
        <is>
          <t>(blank)</t>
        </is>
      </c>
      <c r="D154" s="125" t="n"/>
      <c r="E154" s="132" t="n">
        <v>1</v>
      </c>
    </row>
    <row r="155">
      <c r="A155" s="126" t="n"/>
      <c r="B155" s="124" t="inlineStr">
        <is>
          <t>Vaisala</t>
        </is>
      </c>
      <c r="C155" s="124" t="inlineStr">
        <is>
          <t>(blank)</t>
        </is>
      </c>
      <c r="D155" s="125" t="n"/>
      <c r="E155" s="132" t="n">
        <v>1</v>
      </c>
    </row>
    <row r="156">
      <c r="A156" s="126" t="n"/>
      <c r="B156" s="124" t="inlineStr">
        <is>
          <t>WINUV</t>
        </is>
      </c>
      <c r="C156" s="124" t="inlineStr">
        <is>
          <t>(blank)</t>
        </is>
      </c>
      <c r="D156" s="125" t="n"/>
      <c r="E156" s="132" t="n">
        <v>1</v>
      </c>
    </row>
    <row r="157">
      <c r="A157" s="126" t="n"/>
      <c r="B157" s="124" t="inlineStr">
        <is>
          <t>Zetasizer Software</t>
        </is>
      </c>
      <c r="C157" s="124" t="inlineStr">
        <is>
          <t>Lab software for NJ</t>
        </is>
      </c>
      <c r="D157" s="125" t="n"/>
      <c r="E157" s="132" t="n">
        <v>1</v>
      </c>
    </row>
    <row r="158">
      <c r="A158" s="126" t="n"/>
      <c r="B158" s="124" t="inlineStr">
        <is>
          <t>上海夏焱电子科技有限公司</t>
        </is>
      </c>
      <c r="C158" s="124" t="inlineStr">
        <is>
          <t>Electronics technology products and related technical services.</t>
        </is>
      </c>
      <c r="D158" s="125" t="n"/>
      <c r="E158" s="132" t="n">
        <v>1</v>
      </c>
    </row>
    <row r="159">
      <c r="A159" s="124" t="inlineStr">
        <is>
          <t>Clinical Manufacturing Process Total</t>
        </is>
      </c>
      <c r="B159" s="125" t="n"/>
      <c r="C159" s="125" t="n"/>
      <c r="D159" s="125" t="n"/>
      <c r="E159" s="132" t="n">
        <v>45</v>
      </c>
    </row>
    <row r="160">
      <c r="A160" s="124" t="inlineStr">
        <is>
          <t>Engineering</t>
        </is>
      </c>
      <c r="B160" s="125" t="n"/>
      <c r="C160" s="125" t="n"/>
      <c r="D160" s="125" t="n"/>
      <c r="E160" s="132" t="n">
        <v>41</v>
      </c>
    </row>
    <row r="161">
      <c r="A161" s="124" t="inlineStr">
        <is>
          <t>Marketing</t>
        </is>
      </c>
      <c r="B161" s="125" t="n"/>
      <c r="C161" s="125" t="n"/>
      <c r="D161" s="125" t="n"/>
      <c r="E161" s="132" t="n">
        <v>33</v>
      </c>
    </row>
    <row r="162">
      <c r="A162" s="124" t="inlineStr">
        <is>
          <t>Data and Analytics</t>
        </is>
      </c>
      <c r="B162" s="125" t="n"/>
      <c r="C162" s="125" t="n"/>
      <c r="D162" s="125" t="n"/>
      <c r="E162" s="132" t="n">
        <v>33</v>
      </c>
    </row>
    <row r="163">
      <c r="A163" s="124" t="inlineStr">
        <is>
          <t>Cyber Security</t>
        </is>
      </c>
      <c r="B163" s="125" t="n"/>
      <c r="C163" s="125" t="n"/>
      <c r="D163" s="125" t="n"/>
      <c r="E163" s="132" t="n">
        <v>33</v>
      </c>
    </row>
    <row r="164">
      <c r="A164" s="124" t="inlineStr">
        <is>
          <t>Compliance and Risk</t>
        </is>
      </c>
      <c r="B164" s="125" t="n"/>
      <c r="C164" s="125" t="n"/>
      <c r="D164" s="125" t="n"/>
      <c r="E164" s="132" t="n">
        <v>31</v>
      </c>
    </row>
    <row r="165">
      <c r="A165" s="124" t="inlineStr">
        <is>
          <t>Human Resources and Talent</t>
        </is>
      </c>
      <c r="B165" s="125" t="n"/>
      <c r="C165" s="125" t="n"/>
      <c r="D165" s="125" t="n"/>
      <c r="E165" s="132" t="n">
        <v>30</v>
      </c>
    </row>
    <row r="166">
      <c r="A166" s="124" t="inlineStr">
        <is>
          <t>Quality and Validation</t>
        </is>
      </c>
      <c r="B166" s="125" t="n"/>
      <c r="C166" s="125" t="n"/>
      <c r="D166" s="125" t="n"/>
      <c r="E166" s="132" t="n">
        <v>28</v>
      </c>
    </row>
    <row r="167">
      <c r="A167" s="124" t="inlineStr">
        <is>
          <t>Supply Chain and Distribution</t>
        </is>
      </c>
      <c r="B167" s="125" t="n"/>
      <c r="C167" s="125" t="n"/>
      <c r="D167" s="125" t="n"/>
      <c r="E167" s="132" t="n">
        <v>17</v>
      </c>
    </row>
    <row r="168">
      <c r="A168" s="124" t="inlineStr">
        <is>
          <t>Enterprise Agility</t>
        </is>
      </c>
      <c r="B168" s="125" t="n"/>
      <c r="C168" s="125" t="n"/>
      <c r="D168" s="125" t="n"/>
      <c r="E168" s="132" t="n">
        <v>17</v>
      </c>
    </row>
    <row r="169">
      <c r="A169" s="124" t="inlineStr">
        <is>
          <t>Sales</t>
        </is>
      </c>
      <c r="B169" s="125" t="n"/>
      <c r="C169" s="125" t="n"/>
      <c r="D169" s="125" t="n"/>
      <c r="E169" s="132" t="n">
        <v>16</v>
      </c>
    </row>
    <row r="170">
      <c r="A170" s="124" t="inlineStr">
        <is>
          <t>Regulatory Affairs</t>
        </is>
      </c>
      <c r="B170" s="125" t="n"/>
      <c r="C170" s="125" t="n"/>
      <c r="D170" s="125" t="n"/>
      <c r="E170" s="132" t="n">
        <v>11</v>
      </c>
    </row>
    <row r="171">
      <c r="A171" s="124" t="inlineStr">
        <is>
          <t>Medical Affairs</t>
        </is>
      </c>
      <c r="B171" s="125" t="n"/>
      <c r="C171" s="125" t="n"/>
      <c r="D171" s="125" t="n"/>
      <c r="E171" s="132" t="n">
        <v>7</v>
      </c>
    </row>
    <row r="172">
      <c r="A172" s="124" t="inlineStr">
        <is>
          <t>Clinical Trials</t>
        </is>
      </c>
      <c r="B172" s="125" t="n"/>
      <c r="C172" s="125" t="n"/>
      <c r="D172" s="125" t="n"/>
      <c r="E172" s="132" t="n">
        <v>3</v>
      </c>
    </row>
    <row r="173">
      <c r="A173" s="124" t="inlineStr">
        <is>
          <t>Discovery, Development and PreClinical</t>
        </is>
      </c>
      <c r="B173" s="125" t="n"/>
      <c r="C173" s="125" t="n"/>
      <c r="D173" s="125" t="n"/>
      <c r="E173" s="132" t="n">
        <v>2</v>
      </c>
    </row>
    <row r="174">
      <c r="A174" s="128" t="inlineStr">
        <is>
          <t>Grand Total</t>
        </is>
      </c>
      <c r="B174" s="129" t="n"/>
      <c r="C174" s="129" t="n"/>
      <c r="D174" s="129" t="n"/>
      <c r="E174" s="131" t="n">
        <v>690</v>
      </c>
    </row>
  </sheetData>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AB692"/>
  <sheetViews>
    <sheetView tabSelected="1" zoomScale="85" zoomScaleNormal="85" workbookViewId="0">
      <pane xSplit="2" ySplit="2" topLeftCell="X3" activePane="bottomRight" state="frozen"/>
      <selection pane="topRight" activeCell="C1" sqref="C1"/>
      <selection pane="bottomLeft" activeCell="A3" sqref="A3"/>
      <selection pane="bottomRight" activeCell="Z3" sqref="Z3"/>
    </sheetView>
  </sheetViews>
  <sheetFormatPr baseColWidth="8" defaultColWidth="26" defaultRowHeight="16"/>
  <cols>
    <col hidden="1" width="6.5" customWidth="1" style="72" min="1" max="1"/>
    <col width="30.83203125" bestFit="1" customWidth="1" style="94" min="2" max="2"/>
    <col width="78.25" customWidth="1" style="71" min="3" max="3"/>
    <col width="20.58203125" customWidth="1" style="71" min="4" max="4"/>
    <col width="20.58203125" customWidth="1" style="72" min="5" max="5"/>
    <col width="16.5" customWidth="1" style="71" min="6" max="6"/>
    <col width="18.5" customWidth="1" style="72" min="7" max="7"/>
    <col width="22.33203125" customWidth="1" style="72" min="8" max="10"/>
    <col width="20.58203125" customWidth="1" style="72" min="11" max="11"/>
    <col width="15.33203125" customWidth="1" style="72" min="12" max="13"/>
    <col width="24.5" customWidth="1" style="72" min="14" max="15"/>
    <col width="14.08203125" customWidth="1" style="72" min="16" max="16"/>
    <col width="20.58203125" customWidth="1" style="72" min="17" max="18"/>
    <col width="20.58203125" customWidth="1" style="71" min="19" max="19"/>
    <col width="16.5" customWidth="1" style="110" min="20" max="20"/>
    <col hidden="1" width="20.83203125" customWidth="1" style="71" min="21" max="21"/>
    <col hidden="1" width="22.58203125" customWidth="1" style="110" min="22" max="22"/>
    <col width="24.5" customWidth="1" style="71" min="23" max="23"/>
    <col width="37.08203125" customWidth="1" style="72" min="24" max="24"/>
    <col width="42.58203125" customWidth="1" style="72" min="25" max="26"/>
    <col width="26" customWidth="1" style="72" min="27" max="27"/>
    <col width="93.5" customWidth="1" style="142" min="28" max="28"/>
    <col width="26" customWidth="1" style="72" min="29" max="16384"/>
  </cols>
  <sheetData>
    <row r="1" ht="18.5" customHeight="1" s="142">
      <c r="A1" s="138" t="inlineStr">
        <is>
          <t>ID</t>
        </is>
      </c>
      <c r="B1" s="122" t="n"/>
      <c r="C1" s="123" t="n"/>
      <c r="D1" s="137" t="inlineStr">
        <is>
          <t>Asset Status</t>
        </is>
      </c>
      <c r="E1" s="137" t="inlineStr">
        <is>
          <t>Vendor</t>
        </is>
      </c>
      <c r="F1" s="136" t="n"/>
      <c r="G1" s="137" t="inlineStr">
        <is>
          <t>App Use Geography</t>
        </is>
      </c>
      <c r="H1" s="136" t="n"/>
      <c r="I1" s="137" t="inlineStr">
        <is>
          <t>Infrastructure</t>
        </is>
      </c>
      <c r="J1" s="140" t="n"/>
      <c r="K1" s="140" t="n"/>
      <c r="L1" s="140" t="n"/>
      <c r="M1" s="140" t="n"/>
      <c r="N1" s="140" t="n"/>
      <c r="O1" s="136" t="n"/>
      <c r="P1" s="137" t="n"/>
      <c r="Q1" s="135" t="inlineStr">
        <is>
          <t>Data Regulations &amp; Compliance</t>
        </is>
      </c>
      <c r="R1" s="136" t="n"/>
      <c r="S1" s="137" t="inlineStr">
        <is>
          <t>Last Updated</t>
        </is>
      </c>
      <c r="T1" s="136" t="n"/>
      <c r="U1" s="137" t="inlineStr">
        <is>
          <t>Notes</t>
        </is>
      </c>
      <c r="V1" s="136" t="n"/>
    </row>
    <row r="2" ht="111" customHeight="1" s="142">
      <c r="A2" s="139" t="n"/>
      <c r="B2" s="122" t="inlineStr">
        <is>
          <t>Application</t>
        </is>
      </c>
      <c r="C2" s="123" t="inlineStr">
        <is>
          <t>Description &amp; Additional Notes</t>
        </is>
      </c>
      <c r="D2" s="138" t="inlineStr">
        <is>
          <t>Current Status</t>
        </is>
      </c>
      <c r="E2" s="138" t="inlineStr">
        <is>
          <t>Name</t>
        </is>
      </c>
      <c r="F2" s="138" t="inlineStr">
        <is>
          <t>Website</t>
        </is>
      </c>
      <c r="G2" s="138" t="inlineStr">
        <is>
          <t>Enterprise, Regional, Site Specific</t>
        </is>
      </c>
      <c r="H2" s="138" t="inlineStr">
        <is>
          <t>Site Where Used (if Regional or Site Specific)</t>
        </is>
      </c>
      <c r="I2" s="73" t="inlineStr">
        <is>
          <t>App hosted on-prem data center? (Y/N) *Not including desktop apps.
Site info captured by Infra team.</t>
        </is>
      </c>
      <c r="J2" s="138" t="inlineStr">
        <is>
          <t>Is app hosted on cloud? If yes: Azure, OCI, AWS, Other</t>
        </is>
      </c>
      <c r="K2" s="138" t="inlineStr">
        <is>
          <t>How is it delivered to users? Browser, Client Software</t>
        </is>
      </c>
      <c r="L2" s="138" t="inlineStr">
        <is>
          <t>Mobile App? Y/N</t>
        </is>
      </c>
      <c r="M2" s="138" t="inlineStr">
        <is>
          <t>Supports SSO? If yes, Integrated?</t>
        </is>
      </c>
      <c r="N2" s="138" t="inlineStr">
        <is>
          <t>Dependent on authentication via on-prem Domain Controller?</t>
        </is>
      </c>
      <c r="O2" s="138" t="inlineStr">
        <is>
          <t>Authentication Protocol</t>
        </is>
      </c>
      <c r="P2" s="138" t="inlineStr">
        <is>
          <t>Criticality Tier</t>
        </is>
      </c>
      <c r="Q2" s="138" t="inlineStr">
        <is>
          <t>GXP Validated?</t>
        </is>
      </c>
      <c r="R2" s="138" t="inlineStr">
        <is>
          <t>GAMP Category 1-5</t>
        </is>
      </c>
      <c r="S2" s="138" t="inlineStr">
        <is>
          <t>Updated By (Name)</t>
        </is>
      </c>
      <c r="T2" s="138" t="inlineStr">
        <is>
          <t>Date Last Updated</t>
        </is>
      </c>
      <c r="U2" s="138" t="inlineStr">
        <is>
          <t>Person to ask</t>
        </is>
      </c>
      <c r="V2" s="138" t="inlineStr">
        <is>
          <t>Date</t>
        </is>
      </c>
      <c r="W2" s="74" t="inlineStr">
        <is>
          <t>General Comments</t>
        </is>
      </c>
      <c r="X2" s="72" t="inlineStr">
        <is>
          <t>Future Planning</t>
        </is>
      </c>
      <c r="Y2" s="113" t="inlineStr">
        <is>
          <t>Source</t>
        </is>
      </c>
      <c r="Z2" s="113" t="inlineStr">
        <is>
          <t>KPMG Application Description</t>
        </is>
      </c>
      <c r="AA2" s="112" t="inlineStr">
        <is>
          <t>KPMG Portfolio Category</t>
        </is>
      </c>
      <c r="AB2" s="112" t="inlineStr">
        <is>
          <t>Portfolio Category Description</t>
        </is>
      </c>
    </row>
    <row r="3" ht="80" customHeight="1" s="142">
      <c r="B3" s="51" t="inlineStr">
        <is>
          <t>(SAP) - Business Planning and Consolidation (BPC)</t>
        </is>
      </c>
      <c r="C3" s="75" t="inlineStr">
        <is>
          <t>Utilized for financial management, reporting, budgeting and forecasting. About ~75 users currently use BPC.
The reporting output of the tool is used outside of Finance, including the ELT.</t>
        </is>
      </c>
      <c r="D3" s="75" t="inlineStr">
        <is>
          <t>Decommissioned</t>
        </is>
      </c>
      <c r="E3" s="75" t="inlineStr">
        <is>
          <t>SAP</t>
        </is>
      </c>
      <c r="F3" s="75" t="n"/>
      <c r="G3" s="75" t="inlineStr">
        <is>
          <t>Enterprise</t>
        </is>
      </c>
      <c r="H3" s="75" t="n"/>
      <c r="I3" s="75" t="inlineStr">
        <is>
          <t>Yes</t>
        </is>
      </c>
      <c r="J3" s="75" t="n"/>
      <c r="K3" s="75" t="inlineStr">
        <is>
          <t>On Premises (Client/Server)</t>
        </is>
      </c>
      <c r="L3" s="75" t="n"/>
      <c r="M3" s="75" t="n"/>
      <c r="N3" s="75" t="inlineStr">
        <is>
          <t>Yes</t>
        </is>
      </c>
      <c r="O3" s="75" t="inlineStr">
        <is>
          <t>LDAP</t>
        </is>
      </c>
      <c r="P3" s="75" t="inlineStr">
        <is>
          <t>T1</t>
        </is>
      </c>
      <c r="Q3" s="75" t="inlineStr">
        <is>
          <t>No</t>
        </is>
      </c>
      <c r="R3" s="75" t="n"/>
      <c r="S3" s="75" t="n"/>
      <c r="T3" s="76" t="n"/>
      <c r="U3" s="75" t="n"/>
      <c r="V3" s="76" t="n"/>
      <c r="Y3" s="153" t="inlineStr">
        <is>
          <t>Global Inv - Mar 2026</t>
        </is>
      </c>
      <c r="Z3" s="153" t="inlineStr">
        <is>
          <t>Financial planning, budgeting, and consolidation software</t>
        </is>
      </c>
      <c r="AA3" s="153" t="inlineStr">
        <is>
          <t>Finance</t>
        </is>
      </c>
      <c r="AB3" s="121">
        <f>VLOOKUP(AA3,CategorySummaryTable[],2,FALSE)</f>
        <v/>
      </c>
    </row>
    <row r="4" ht="80" customHeight="1" s="142">
      <c r="B4" s="77" t="inlineStr">
        <is>
          <t>109 Manufacturing System (MAN)</t>
        </is>
      </c>
      <c r="C4" s="75" t="inlineStr">
        <is>
          <t>Manufacturing software in NJ</t>
        </is>
      </c>
      <c r="D4" s="75" t="inlineStr">
        <is>
          <t>Unknown</t>
        </is>
      </c>
      <c r="E4" s="75" t="inlineStr">
        <is>
          <t>Rockwell Software</t>
        </is>
      </c>
      <c r="F4" s="75" t="n"/>
      <c r="G4" s="75" t="inlineStr">
        <is>
          <t>Localized</t>
        </is>
      </c>
      <c r="H4" s="75" t="inlineStr">
        <is>
          <t>Plainsboro-109</t>
        </is>
      </c>
      <c r="I4" s="75" t="inlineStr">
        <is>
          <t>Yes</t>
        </is>
      </c>
      <c r="J4" s="75" t="n"/>
      <c r="K4" s="75" t="inlineStr">
        <is>
          <t>On Premises (Client/Server)</t>
        </is>
      </c>
      <c r="L4" s="75" t="n"/>
      <c r="M4" s="75" t="n"/>
      <c r="N4" s="75" t="n"/>
      <c r="O4" s="75" t="n"/>
      <c r="P4" s="75" t="n"/>
      <c r="Q4" s="75" t="inlineStr">
        <is>
          <t>Yes</t>
        </is>
      </c>
      <c r="R4" s="75" t="n"/>
      <c r="S4" s="75" t="n"/>
      <c r="T4" s="76" t="n"/>
      <c r="U4" s="75" t="n"/>
      <c r="V4" s="76" t="n"/>
      <c r="Y4" s="153" t="inlineStr">
        <is>
          <t>Global Inv - Mar 2026</t>
        </is>
      </c>
      <c r="Z4" s="153" t="inlineStr">
        <is>
          <t>Industrial automation and manufacturing control software</t>
        </is>
      </c>
      <c r="AA4" s="153" t="inlineStr">
        <is>
          <t>Manufacturing</t>
        </is>
      </c>
      <c r="AB4" s="121">
        <f>VLOOKUP(AA4,CategorySummaryTable[],2,FALSE)</f>
        <v/>
      </c>
    </row>
    <row r="5" ht="80" customHeight="1" s="142">
      <c r="B5" s="77" t="inlineStr">
        <is>
          <t>3 of 9 Font</t>
        </is>
      </c>
      <c r="C5" s="78" t="inlineStr">
        <is>
          <t>Part of desktop image-Barcode fonts</t>
        </is>
      </c>
      <c r="D5" s="75" t="inlineStr">
        <is>
          <t>Active</t>
        </is>
      </c>
      <c r="E5" s="75" t="n"/>
      <c r="F5" s="75" t="n"/>
      <c r="G5" s="75" t="n"/>
      <c r="H5" s="75" t="n"/>
      <c r="I5" s="75" t="n"/>
      <c r="J5" s="75" t="n"/>
      <c r="K5" s="75" t="n"/>
      <c r="L5" s="75" t="n"/>
      <c r="M5" s="75" t="n"/>
      <c r="N5" s="75" t="n"/>
      <c r="O5" s="75" t="n"/>
      <c r="P5" s="75" t="n"/>
      <c r="Q5" s="75" t="n"/>
      <c r="R5" s="75" t="n"/>
      <c r="S5" s="75" t="inlineStr">
        <is>
          <t>Dave Kreminski</t>
        </is>
      </c>
      <c r="T5" s="76" t="n">
        <v>45673</v>
      </c>
      <c r="U5" s="75" t="n"/>
      <c r="V5" s="76" t="n"/>
      <c r="Y5" s="153" t="inlineStr">
        <is>
          <t>Global Inv - Mar 2026</t>
        </is>
      </c>
      <c r="Z5" s="153" t="inlineStr">
        <is>
          <t>Code 39 (3 of 9) barcode font</t>
        </is>
      </c>
      <c r="AA5" s="153" t="inlineStr">
        <is>
          <t>Manufacturing</t>
        </is>
      </c>
      <c r="AB5" s="121">
        <f>VLOOKUP(AA5,CategorySummaryTable[],2,FALSE)</f>
        <v/>
      </c>
    </row>
    <row r="6" ht="64" customHeight="1" s="142">
      <c r="B6" s="77" t="inlineStr">
        <is>
          <t>7-Zip (Freeware)</t>
        </is>
      </c>
      <c r="C6" s="79" t="inlineStr">
        <is>
          <t>7-Zip is a file archiver with a high compression ratio.</t>
        </is>
      </c>
      <c r="D6" s="75" t="inlineStr">
        <is>
          <t>Active</t>
        </is>
      </c>
      <c r="E6" s="75" t="inlineStr">
        <is>
          <t>7-Zip</t>
        </is>
      </c>
      <c r="F6" s="52" t="inlineStr">
        <is>
          <t>7-Zip</t>
        </is>
      </c>
      <c r="G6" s="75" t="inlineStr">
        <is>
          <t>Enterprise</t>
        </is>
      </c>
      <c r="H6" s="75" t="inlineStr">
        <is>
          <t>Global</t>
        </is>
      </c>
      <c r="I6" s="75" t="inlineStr">
        <is>
          <t>no</t>
        </is>
      </c>
      <c r="J6" s="75" t="n"/>
      <c r="K6" s="75" t="inlineStr">
        <is>
          <t>Desktop</t>
        </is>
      </c>
      <c r="L6" s="75" t="n"/>
      <c r="M6" s="75" t="n"/>
      <c r="N6" s="75" t="n"/>
      <c r="O6" s="75" t="n"/>
      <c r="P6" s="75" t="n"/>
      <c r="Q6" s="75" t="inlineStr">
        <is>
          <t>No</t>
        </is>
      </c>
      <c r="R6" s="75" t="n"/>
      <c r="S6" s="75" t="inlineStr">
        <is>
          <t>Dave Kreminski</t>
        </is>
      </c>
      <c r="T6" s="76" t="n">
        <v>45673</v>
      </c>
      <c r="U6" s="75" t="inlineStr">
        <is>
          <t>Desktop app- ask German Mesa?</t>
        </is>
      </c>
      <c r="V6" s="76" t="n"/>
      <c r="Y6" s="153" t="inlineStr">
        <is>
          <t>Global Inv - Mar 2026</t>
        </is>
      </c>
      <c r="Z6" s="153" t="inlineStr">
        <is>
          <t>File archiver and compression utility</t>
        </is>
      </c>
      <c r="AA6" s="153" t="inlineStr">
        <is>
          <t>IT Operations</t>
        </is>
      </c>
      <c r="AB6" s="121">
        <f>VLOOKUP(AA6,CategorySummaryTable[],2,FALSE)</f>
        <v/>
      </c>
    </row>
    <row r="7" ht="64" customHeight="1" s="142">
      <c r="B7" s="80" t="inlineStr">
        <is>
          <t>Acell servers</t>
        </is>
      </c>
      <c r="C7" s="75" t="inlineStr">
        <is>
          <t>Business critical for the Acell operations</t>
        </is>
      </c>
      <c r="D7" s="75" t="inlineStr">
        <is>
          <t>Unknown</t>
        </is>
      </c>
      <c r="E7" s="75" t="n"/>
      <c r="F7" s="75" t="n"/>
      <c r="G7" s="75" t="n"/>
      <c r="H7" s="75" t="n"/>
      <c r="I7" s="75" t="n"/>
      <c r="J7" s="75" t="inlineStr">
        <is>
          <t>Azure</t>
        </is>
      </c>
      <c r="K7" s="75" t="n"/>
      <c r="L7" s="75" t="n"/>
      <c r="M7" s="75" t="n"/>
      <c r="N7" s="75" t="n"/>
      <c r="O7" s="75" t="n"/>
      <c r="P7" s="75" t="n"/>
      <c r="Q7" s="75" t="n"/>
      <c r="R7" s="75" t="n"/>
      <c r="S7" s="75" t="n"/>
      <c r="T7" s="76" t="n"/>
      <c r="U7" s="75" t="inlineStr">
        <is>
          <t>not an app. Ask Michael Patterson what's running on them.</t>
        </is>
      </c>
      <c r="V7" s="76" t="n"/>
      <c r="Y7" s="153" t="inlineStr">
        <is>
          <t>Global Inv - Mar 2026</t>
        </is>
      </c>
      <c r="Z7" s="153" t="inlineStr">
        <is>
          <t>NA</t>
        </is>
      </c>
      <c r="AA7" s="153" t="inlineStr">
        <is>
          <t>IT Operations</t>
        </is>
      </c>
      <c r="AB7" s="121">
        <f>VLOOKUP(AA7,CategorySummaryTable[],2,FALSE)</f>
        <v/>
      </c>
    </row>
    <row r="8" ht="80" customHeight="1" s="142">
      <c r="B8" s="80" t="inlineStr">
        <is>
          <t>ACell.com</t>
        </is>
      </c>
      <c r="C8" s="75" t="inlineStr">
        <is>
          <t>Medical application</t>
        </is>
      </c>
      <c r="D8" s="75" t="inlineStr">
        <is>
          <t>Unknown</t>
        </is>
      </c>
      <c r="E8" s="75" t="inlineStr">
        <is>
          <t>ACell</t>
        </is>
      </c>
      <c r="F8" s="75" t="n"/>
      <c r="G8" s="75" t="n"/>
      <c r="H8" s="75" t="n"/>
      <c r="I8" s="75" t="n"/>
      <c r="J8" s="75" t="inlineStr">
        <is>
          <t>Other</t>
        </is>
      </c>
      <c r="K8" s="75" t="n"/>
      <c r="L8" s="75" t="n"/>
      <c r="M8" s="75" t="n"/>
      <c r="N8" s="75" t="n"/>
      <c r="O8" s="75" t="n"/>
      <c r="P8" s="75" t="n"/>
      <c r="Q8" s="75" t="n"/>
      <c r="R8" s="75" t="n"/>
      <c r="S8" s="75" t="n"/>
      <c r="T8" s="76" t="n"/>
      <c r="U8" s="75" t="inlineStr">
        <is>
          <t>Ask Brian Sherfey</t>
        </is>
      </c>
      <c r="V8" s="76" t="n"/>
      <c r="Y8" s="153" t="inlineStr">
        <is>
          <t>Global Inv - Mar 2026</t>
        </is>
      </c>
      <c r="Z8" s="153" t="inlineStr">
        <is>
          <t>NA</t>
        </is>
      </c>
      <c r="AA8" s="153" t="inlineStr">
        <is>
          <t>Medical Affairs</t>
        </is>
      </c>
      <c r="AB8" s="121">
        <f>VLOOKUP(AA8,CategorySummaryTable[],2,FALSE)</f>
        <v/>
      </c>
    </row>
    <row r="9" ht="64" customHeight="1" s="142">
      <c r="B9" s="80" t="inlineStr">
        <is>
          <t>Active Web Monitor</t>
        </is>
      </c>
      <c r="C9" s="75" t="n"/>
      <c r="D9" s="75" t="inlineStr">
        <is>
          <t>Unknown</t>
        </is>
      </c>
      <c r="E9" s="75" t="n"/>
      <c r="F9" s="75" t="n"/>
      <c r="G9" s="75" t="n"/>
      <c r="H9" s="75" t="n"/>
      <c r="I9" s="75" t="inlineStr">
        <is>
          <t>Unknown</t>
        </is>
      </c>
      <c r="J9" s="75" t="inlineStr">
        <is>
          <t>Unknown</t>
        </is>
      </c>
      <c r="K9" s="75" t="n"/>
      <c r="L9" s="75" t="n"/>
      <c r="M9" s="75" t="n"/>
      <c r="N9" s="75" t="n"/>
      <c r="O9" s="75" t="n"/>
      <c r="P9" s="75" t="n"/>
      <c r="Q9" s="75" t="n"/>
      <c r="R9" s="75" t="n"/>
      <c r="S9" s="75" t="n"/>
      <c r="T9" s="76" t="n"/>
      <c r="U9" s="75" t="inlineStr">
        <is>
          <t>Check with Matt Cerny</t>
        </is>
      </c>
      <c r="V9" s="76" t="n"/>
      <c r="Y9" s="153" t="inlineStr">
        <is>
          <t>Global Inv - Mar 2026</t>
        </is>
      </c>
      <c r="Z9" s="153" t="inlineStr">
        <is>
          <t>Website and web application uptime monitoring service</t>
        </is>
      </c>
      <c r="AA9" s="153" t="inlineStr">
        <is>
          <t>IT Operations</t>
        </is>
      </c>
      <c r="AB9" s="121">
        <f>VLOOKUP(AA9,CategorySummaryTable[],2,FALSE)</f>
        <v/>
      </c>
    </row>
    <row r="10" ht="80" customHeight="1" s="142">
      <c r="B10" s="80" t="inlineStr">
        <is>
          <t>Adaptive Planning</t>
        </is>
      </c>
      <c r="C10" s="75" t="inlineStr">
        <is>
          <t>Financial, workforce and sales planning</t>
        </is>
      </c>
      <c r="D10" s="75" t="inlineStr">
        <is>
          <t>Unknown</t>
        </is>
      </c>
      <c r="E10" s="75" t="inlineStr">
        <is>
          <t>Workday</t>
        </is>
      </c>
      <c r="F10" s="75" t="n"/>
      <c r="G10" s="75" t="n"/>
      <c r="H10" s="75" t="n"/>
      <c r="I10" s="75" t="n"/>
      <c r="J10" s="75" t="inlineStr">
        <is>
          <t>Other</t>
        </is>
      </c>
      <c r="K10" s="75" t="n"/>
      <c r="L10" s="75" t="n"/>
      <c r="M10" s="75" t="n"/>
      <c r="N10" s="75" t="n"/>
      <c r="O10" s="75" t="n"/>
      <c r="P10" s="75" t="n"/>
      <c r="Q10" s="75" t="n"/>
      <c r="R10" s="75" t="n"/>
      <c r="S10" s="75" t="n"/>
      <c r="T10" s="76" t="n"/>
      <c r="U10" s="75" t="inlineStr">
        <is>
          <t>Mark Ferry</t>
        </is>
      </c>
      <c r="V10" s="76" t="n"/>
      <c r="Y10" s="153" t="inlineStr">
        <is>
          <t>Global Inv - Mar 2026</t>
        </is>
      </c>
      <c r="Z10" s="153" t="inlineStr">
        <is>
          <t>Financial, workforce, and sales planning software</t>
        </is>
      </c>
      <c r="AA10" s="153" t="inlineStr">
        <is>
          <t>Human Resources and Talent</t>
        </is>
      </c>
      <c r="AB10" s="121">
        <f>VLOOKUP(AA10,CategorySummaryTable[],2,FALSE)</f>
        <v/>
      </c>
    </row>
    <row r="11" ht="80" customHeight="1" s="142">
      <c r="B11" s="80" t="inlineStr">
        <is>
          <t>Adobe Air</t>
        </is>
      </c>
      <c r="C11" s="81" t="inlineStr">
        <is>
          <t>for building desktop applications and mobile applications, programmed using Adobe Animate, ActionScript, and optionally Apache Flex</t>
        </is>
      </c>
      <c r="D11" s="75" t="inlineStr">
        <is>
          <t>Active</t>
        </is>
      </c>
      <c r="E11" s="75" t="inlineStr">
        <is>
          <t>Adobe</t>
        </is>
      </c>
      <c r="F11" s="52" t="inlineStr">
        <is>
          <t>Adobe AIR Learn &amp; Support</t>
        </is>
      </c>
      <c r="G11" s="75" t="n"/>
      <c r="H11" s="75" t="n"/>
      <c r="I11" s="75" t="n"/>
      <c r="J11" s="75" t="n"/>
      <c r="K11" s="75" t="n"/>
      <c r="L11" s="75" t="n"/>
      <c r="M11" s="75" t="n"/>
      <c r="N11" s="75" t="n"/>
      <c r="O11" s="75" t="n"/>
      <c r="P11" s="75" t="n"/>
      <c r="Q11" s="75" t="n"/>
      <c r="R11" s="75" t="n"/>
      <c r="S11" s="75" t="inlineStr">
        <is>
          <t>Dave Kreminski</t>
        </is>
      </c>
      <c r="T11" s="76" t="n">
        <v>45673</v>
      </c>
      <c r="U11" s="75" t="n"/>
      <c r="V11" s="76" t="n"/>
      <c r="Y11" s="153" t="inlineStr">
        <is>
          <t>Global Inv - Mar 2026</t>
        </is>
      </c>
      <c r="Z11" s="153" t="inlineStr">
        <is>
          <t>Runtime for building cross-platform desktop and mobile applications</t>
        </is>
      </c>
      <c r="AA11" s="153" t="inlineStr">
        <is>
          <t>Marketing</t>
        </is>
      </c>
      <c r="AB11" s="121">
        <f>VLOOKUP(AA11,CategorySummaryTable[],2,FALSE)</f>
        <v/>
      </c>
    </row>
    <row r="12" ht="80" customHeight="1" s="142">
      <c r="B12" s="82" t="inlineStr">
        <is>
          <t>Adobe Acrobat</t>
        </is>
      </c>
      <c r="C12" s="75" t="inlineStr">
        <is>
          <t>PDF editor/ Document editing</t>
        </is>
      </c>
      <c r="D12" s="75" t="inlineStr">
        <is>
          <t>Active</t>
        </is>
      </c>
      <c r="E12" s="75" t="inlineStr">
        <is>
          <t>Adobe</t>
        </is>
      </c>
      <c r="F12" s="75" t="n"/>
      <c r="G12" s="75" t="n"/>
      <c r="H12" s="75" t="inlineStr">
        <is>
          <t>Multi-Site-Cincinnati-Billerica-Austin</t>
        </is>
      </c>
      <c r="I12" s="75" t="n"/>
      <c r="J12" s="75" t="n"/>
      <c r="K12" s="75" t="inlineStr">
        <is>
          <t>Desktop</t>
        </is>
      </c>
      <c r="L12" s="75" t="n"/>
      <c r="M12" s="75" t="n"/>
      <c r="N12" s="75" t="n"/>
      <c r="O12" s="75" t="n"/>
      <c r="P12" s="75" t="n"/>
      <c r="Q12" s="75" t="inlineStr">
        <is>
          <t>No</t>
        </is>
      </c>
      <c r="R12" s="75" t="n"/>
      <c r="S12" s="75" t="inlineStr">
        <is>
          <t>Michael Patterson</t>
        </is>
      </c>
      <c r="T12" s="76" t="n">
        <v>44516</v>
      </c>
      <c r="U12" s="75" t="inlineStr">
        <is>
          <t>Verified via Michael Patterson</t>
        </is>
      </c>
      <c r="V12" s="76" t="n">
        <v>44516</v>
      </c>
      <c r="Y12" s="153" t="inlineStr">
        <is>
          <t>Global Inv - Mar 2026</t>
        </is>
      </c>
      <c r="Z12" s="153" t="inlineStr">
        <is>
          <t>PDF creation, editing, and viewing software</t>
        </is>
      </c>
      <c r="AA12" s="153" t="inlineStr">
        <is>
          <t>Marketing</t>
        </is>
      </c>
      <c r="AB12" s="121">
        <f>VLOOKUP(AA12,CategorySummaryTable[],2,FALSE)</f>
        <v/>
      </c>
    </row>
    <row r="13" ht="80" customHeight="1" s="142">
      <c r="B13" s="77" t="inlineStr">
        <is>
          <t>Adobe Acrobat Pro</t>
        </is>
      </c>
      <c r="C13" s="75" t="inlineStr">
        <is>
          <t>6/16/21: In use? Desktop application for PDF files</t>
        </is>
      </c>
      <c r="D13" s="75" t="inlineStr">
        <is>
          <t>Unknown</t>
        </is>
      </c>
      <c r="E13" s="75" t="inlineStr">
        <is>
          <t>Adobe</t>
        </is>
      </c>
      <c r="F13" s="75" t="n"/>
      <c r="G13" s="75" t="n"/>
      <c r="H13" s="75" t="inlineStr">
        <is>
          <t>St. Aubin</t>
        </is>
      </c>
      <c r="I13" s="75" t="n"/>
      <c r="J13" s="75" t="n"/>
      <c r="K13" s="75" t="inlineStr">
        <is>
          <t>Desktop</t>
        </is>
      </c>
      <c r="L13" s="75" t="n"/>
      <c r="M13" s="75" t="n"/>
      <c r="N13" s="75" t="n"/>
      <c r="O13" s="75" t="n"/>
      <c r="P13" s="75" t="n"/>
      <c r="Q13" s="75" t="n"/>
      <c r="R13" s="75" t="n"/>
      <c r="S13" s="75" t="n"/>
      <c r="T13" s="76" t="n"/>
      <c r="U13" s="75" t="inlineStr">
        <is>
          <t>Desktop app- ask German Mesa?</t>
        </is>
      </c>
      <c r="V13" s="76" t="n"/>
      <c r="Y13" s="153" t="inlineStr">
        <is>
          <t>Global Inv - Mar 2026</t>
        </is>
      </c>
      <c r="Z13" s="153" t="inlineStr">
        <is>
          <t>PDF creation, editing, and viewing software</t>
        </is>
      </c>
      <c r="AA13" s="153" t="inlineStr">
        <is>
          <t>Marketing</t>
        </is>
      </c>
      <c r="AB13" s="121">
        <f>VLOOKUP(AA13,CategorySummaryTable[],2,FALSE)</f>
        <v/>
      </c>
    </row>
    <row r="14" ht="80" customHeight="1" s="142">
      <c r="B14" s="80" t="inlineStr">
        <is>
          <t>Adobe Acrobat Standard</t>
        </is>
      </c>
      <c r="C14" s="75" t="inlineStr">
        <is>
          <t>create, edit, sign, and track your PDF files</t>
        </is>
      </c>
      <c r="D14" s="75" t="inlineStr">
        <is>
          <t>Unknown</t>
        </is>
      </c>
      <c r="E14" s="75" t="inlineStr">
        <is>
          <t>Adobe</t>
        </is>
      </c>
      <c r="F14" s="75" t="n"/>
      <c r="G14" s="75" t="n"/>
      <c r="H14" s="75" t="n"/>
      <c r="I14" s="75" t="n"/>
      <c r="J14" s="75" t="inlineStr">
        <is>
          <t>Other</t>
        </is>
      </c>
      <c r="K14" s="75" t="n"/>
      <c r="L14" s="75" t="n"/>
      <c r="M14" s="75" t="n"/>
      <c r="N14" s="75" t="n"/>
      <c r="O14" s="75" t="n"/>
      <c r="P14" s="75" t="n"/>
      <c r="Q14" s="75" t="n"/>
      <c r="R14" s="75" t="n"/>
      <c r="S14" s="75" t="n"/>
      <c r="T14" s="76" t="n"/>
      <c r="U14" s="75" t="inlineStr">
        <is>
          <t>Desktop app- ask German Mesa?</t>
        </is>
      </c>
      <c r="V14" s="76" t="n"/>
      <c r="Y14" s="153" t="inlineStr">
        <is>
          <t>Global Inv - Mar 2026</t>
        </is>
      </c>
      <c r="Z14" s="153" t="inlineStr">
        <is>
          <t>PDF creation, editing, and signing software</t>
        </is>
      </c>
      <c r="AA14" s="153" t="inlineStr">
        <is>
          <t>Marketing</t>
        </is>
      </c>
      <c r="AB14" s="121">
        <f>VLOOKUP(AA14,CategorySummaryTable[],2,FALSE)</f>
        <v/>
      </c>
    </row>
    <row r="15" ht="80" customHeight="1" s="142">
      <c r="B15" s="77" t="inlineStr">
        <is>
          <t>Adobe Creative Cloud (CC)</t>
        </is>
      </c>
      <c r="C15" s="75" t="inlineStr">
        <is>
          <t>Desktop application for PDF files</t>
        </is>
      </c>
      <c r="D15" s="75" t="inlineStr">
        <is>
          <t>Unknown</t>
        </is>
      </c>
      <c r="E15" s="75" t="inlineStr">
        <is>
          <t>Adobe</t>
        </is>
      </c>
      <c r="F15" s="75" t="n"/>
      <c r="G15" s="75" t="n"/>
      <c r="H15" s="75" t="inlineStr">
        <is>
          <t>Lyon</t>
        </is>
      </c>
      <c r="I15" s="75" t="n"/>
      <c r="J15" s="75" t="n"/>
      <c r="K15" s="75" t="inlineStr">
        <is>
          <t>Desktop</t>
        </is>
      </c>
      <c r="L15" s="75" t="n"/>
      <c r="M15" s="75" t="n"/>
      <c r="N15" s="75" t="n"/>
      <c r="O15" s="75" t="n"/>
      <c r="P15" s="75" t="n"/>
      <c r="Q15" s="75" t="inlineStr">
        <is>
          <t>No</t>
        </is>
      </c>
      <c r="R15" s="75" t="n"/>
      <c r="S15" s="75" t="n"/>
      <c r="T15" s="76" t="n"/>
      <c r="U15" s="75" t="inlineStr">
        <is>
          <t>Desktop app- ask German Mesa?</t>
        </is>
      </c>
      <c r="V15" s="76" t="n"/>
      <c r="Y15" s="153" t="inlineStr">
        <is>
          <t>Global Inv - Mar 2026</t>
        </is>
      </c>
      <c r="Z15" s="153" t="inlineStr">
        <is>
          <t>Suite of creative design, photo, and video applications</t>
        </is>
      </c>
      <c r="AA15" s="153" t="inlineStr">
        <is>
          <t>Marketing</t>
        </is>
      </c>
      <c r="AB15" s="121">
        <f>VLOOKUP(AA15,CategorySummaryTable[],2,FALSE)</f>
        <v/>
      </c>
    </row>
    <row r="16" ht="80" customHeight="1" s="142">
      <c r="B16" s="83" t="inlineStr">
        <is>
          <t>Adobe Design Premium</t>
        </is>
      </c>
      <c r="C16" s="75" t="inlineStr">
        <is>
          <t>Desktop application for PDF files</t>
        </is>
      </c>
      <c r="D16" s="75" t="inlineStr">
        <is>
          <t>Unknown</t>
        </is>
      </c>
      <c r="E16" s="75" t="inlineStr">
        <is>
          <t>Adobe</t>
        </is>
      </c>
      <c r="F16" s="75" t="n"/>
      <c r="G16" s="75" t="n"/>
      <c r="H16" s="75" t="inlineStr">
        <is>
          <t>Puerto Rico</t>
        </is>
      </c>
      <c r="I16" s="75" t="n"/>
      <c r="J16" s="75" t="n"/>
      <c r="K16" s="75" t="inlineStr">
        <is>
          <t>Desktop</t>
        </is>
      </c>
      <c r="L16" s="75" t="n"/>
      <c r="M16" s="75" t="n"/>
      <c r="N16" s="75" t="n"/>
      <c r="O16" s="75" t="n"/>
      <c r="P16" s="75" t="n"/>
      <c r="Q16" s="75" t="inlineStr">
        <is>
          <t>No</t>
        </is>
      </c>
      <c r="R16" s="75" t="n"/>
      <c r="S16" s="75" t="n"/>
      <c r="T16" s="76" t="n"/>
      <c r="U16" s="75" t="n"/>
      <c r="V16" s="76" t="n"/>
      <c r="Y16" s="153" t="inlineStr">
        <is>
          <t>Global Inv - Mar 2026</t>
        </is>
      </c>
      <c r="Z16" s="153" t="inlineStr">
        <is>
          <t>Graphic design and desktop publishing software suite</t>
        </is>
      </c>
      <c r="AA16" s="153" t="inlineStr">
        <is>
          <t>Marketing</t>
        </is>
      </c>
      <c r="AB16" s="121">
        <f>VLOOKUP(AA16,CategorySummaryTable[],2,FALSE)</f>
        <v/>
      </c>
    </row>
    <row r="17" ht="80" customHeight="1" s="142">
      <c r="B17" s="83" t="inlineStr">
        <is>
          <t>Adobe PhotoShop</t>
        </is>
      </c>
      <c r="C17" s="75" t="inlineStr">
        <is>
          <t>Marked for deletetion- Desktop application for PDF files</t>
        </is>
      </c>
      <c r="D17" s="75" t="inlineStr">
        <is>
          <t>Unknown</t>
        </is>
      </c>
      <c r="E17" s="75" t="n"/>
      <c r="F17" s="75" t="n"/>
      <c r="G17" s="75" t="n"/>
      <c r="H17" s="75" t="inlineStr">
        <is>
          <t>Plainsboro 105</t>
        </is>
      </c>
      <c r="I17" s="75" t="n"/>
      <c r="J17" s="75" t="n"/>
      <c r="K17" s="75" t="inlineStr">
        <is>
          <t>Desktop</t>
        </is>
      </c>
      <c r="L17" s="75" t="n"/>
      <c r="M17" s="75" t="n"/>
      <c r="N17" s="75" t="n"/>
      <c r="O17" s="75" t="n"/>
      <c r="P17" s="75" t="n"/>
      <c r="Q17" s="75" t="inlineStr">
        <is>
          <t>Yyes</t>
        </is>
      </c>
      <c r="R17" s="75" t="n"/>
      <c r="S17" s="75" t="n"/>
      <c r="T17" s="76" t="n"/>
      <c r="U17" s="75" t="n"/>
      <c r="V17" s="76" t="n"/>
      <c r="Y17" s="153" t="inlineStr">
        <is>
          <t>Global Inv - Mar 2026</t>
        </is>
      </c>
      <c r="Z17" s="153" t="inlineStr">
        <is>
          <t>Raster image editing and graphic design software</t>
        </is>
      </c>
      <c r="AA17" s="153" t="inlineStr">
        <is>
          <t>Marketing</t>
        </is>
      </c>
      <c r="AB17" s="121">
        <f>VLOOKUP(AA17,CategorySummaryTable[],2,FALSE)</f>
        <v/>
      </c>
    </row>
    <row r="18" ht="80" customHeight="1" s="142">
      <c r="B18" s="77" t="inlineStr">
        <is>
          <t>Adobe PhotoShop</t>
        </is>
      </c>
      <c r="C18" s="75" t="inlineStr">
        <is>
          <t>Marked for deletetion- Desktop application for PDF files</t>
        </is>
      </c>
      <c r="D18" s="75" t="inlineStr">
        <is>
          <t>Unknown</t>
        </is>
      </c>
      <c r="E18" s="75" t="inlineStr">
        <is>
          <t>Adobe</t>
        </is>
      </c>
      <c r="F18" s="75" t="n"/>
      <c r="G18" s="75" t="n"/>
      <c r="H18" s="75" t="inlineStr">
        <is>
          <t>Plainsboro, St. Aubin</t>
        </is>
      </c>
      <c r="I18" s="75" t="n"/>
      <c r="J18" s="75" t="n"/>
      <c r="K18" s="75" t="inlineStr">
        <is>
          <t>Desktop</t>
        </is>
      </c>
      <c r="L18" s="75" t="n"/>
      <c r="M18" s="75" t="n"/>
      <c r="N18" s="75" t="n"/>
      <c r="O18" s="75" t="n"/>
      <c r="P18" s="75" t="n"/>
      <c r="Q18" s="75" t="inlineStr">
        <is>
          <t>No</t>
        </is>
      </c>
      <c r="R18" s="75" t="n"/>
      <c r="S18" s="75" t="n"/>
      <c r="T18" s="76" t="n"/>
      <c r="U18" s="75" t="inlineStr">
        <is>
          <t>Desktop app- ask German Mesa?</t>
        </is>
      </c>
      <c r="V18" s="76" t="n"/>
      <c r="Y18" s="153" t="inlineStr">
        <is>
          <t>Global Inv - Mar 2026</t>
        </is>
      </c>
      <c r="Z18" s="153" t="inlineStr">
        <is>
          <t>Raster image editing and graphic design software</t>
        </is>
      </c>
      <c r="AA18" s="153" t="inlineStr">
        <is>
          <t>Marketing</t>
        </is>
      </c>
      <c r="AB18" s="121">
        <f>VLOOKUP(AA18,CategorySummaryTable[],2,FALSE)</f>
        <v/>
      </c>
    </row>
    <row r="19" ht="80" customHeight="1" s="142">
      <c r="B19" s="77" t="inlineStr">
        <is>
          <t>Adobe Photoshop</t>
        </is>
      </c>
      <c r="C19" s="75" t="inlineStr">
        <is>
          <t>Desktop application for PDF files</t>
        </is>
      </c>
      <c r="D19" s="75" t="inlineStr">
        <is>
          <t>Unknown</t>
        </is>
      </c>
      <c r="E19" s="75" t="inlineStr">
        <is>
          <t>Adobe</t>
        </is>
      </c>
      <c r="F19" s="75" t="n"/>
      <c r="G19" s="75" t="n"/>
      <c r="H19" s="75" t="inlineStr">
        <is>
          <t>Irvine, Germany, Tullamore</t>
        </is>
      </c>
      <c r="I19" s="75" t="n"/>
      <c r="J19" s="75" t="n"/>
      <c r="K19" s="75" t="inlineStr">
        <is>
          <t>Desktop</t>
        </is>
      </c>
      <c r="L19" s="75" t="n"/>
      <c r="M19" s="75" t="n"/>
      <c r="N19" s="75" t="n"/>
      <c r="O19" s="75" t="n"/>
      <c r="P19" s="75" t="n"/>
      <c r="Q19" s="75" t="inlineStr">
        <is>
          <t>No</t>
        </is>
      </c>
      <c r="R19" s="75" t="n"/>
      <c r="S19" s="75" t="n"/>
      <c r="T19" s="76" t="n"/>
      <c r="U19" s="75" t="inlineStr">
        <is>
          <t>Desktop app- ask German Mesa?</t>
        </is>
      </c>
      <c r="V19" s="76" t="n"/>
      <c r="Y19" s="153" t="inlineStr">
        <is>
          <t>Global Inv - Mar 2026</t>
        </is>
      </c>
      <c r="Z19" s="153" t="inlineStr">
        <is>
          <t>Raster image editing and graphic design software</t>
        </is>
      </c>
      <c r="AA19" s="153" t="inlineStr">
        <is>
          <t>Marketing</t>
        </is>
      </c>
      <c r="AB19" s="121">
        <f>VLOOKUP(AA19,CategorySummaryTable[],2,FALSE)</f>
        <v/>
      </c>
    </row>
    <row r="20" ht="80" customHeight="1" s="142">
      <c r="B20" s="77" t="inlineStr">
        <is>
          <t>Adobe Suite Creative CS5.5 (used by Customer Service)</t>
        </is>
      </c>
      <c r="C20" s="75" t="inlineStr">
        <is>
          <t>Desktop application for PDF files</t>
        </is>
      </c>
      <c r="D20" s="75" t="inlineStr">
        <is>
          <t>Unknown</t>
        </is>
      </c>
      <c r="E20" s="75" t="inlineStr">
        <is>
          <t>Adobe</t>
        </is>
      </c>
      <c r="F20" s="75" t="n"/>
      <c r="G20" s="75" t="n"/>
      <c r="H20" s="75" t="inlineStr">
        <is>
          <t>St. Aubin</t>
        </is>
      </c>
      <c r="I20" s="75" t="n"/>
      <c r="J20" s="75" t="n"/>
      <c r="K20" s="75" t="inlineStr">
        <is>
          <t>Desktop</t>
        </is>
      </c>
      <c r="L20" s="75" t="n"/>
      <c r="M20" s="75" t="n"/>
      <c r="N20" s="75" t="n"/>
      <c r="O20" s="75" t="n"/>
      <c r="P20" s="75" t="n"/>
      <c r="Q20" s="75" t="n"/>
      <c r="R20" s="75" t="n"/>
      <c r="S20" s="75" t="n"/>
      <c r="T20" s="76" t="n"/>
      <c r="U20" s="75" t="inlineStr">
        <is>
          <t>Desktop app- ask German Mesa?</t>
        </is>
      </c>
      <c r="V20" s="76" t="n"/>
      <c r="Y20" s="153" t="inlineStr">
        <is>
          <t>Global Inv - Mar 2026</t>
        </is>
      </c>
      <c r="Z20" s="153" t="inlineStr">
        <is>
          <t>Suite of graphic design and creative software</t>
        </is>
      </c>
      <c r="AA20" s="153" t="inlineStr">
        <is>
          <t>Marketing</t>
        </is>
      </c>
      <c r="AB20" s="121">
        <f>VLOOKUP(AA20,CategorySummaryTable[],2,FALSE)</f>
        <v/>
      </c>
    </row>
    <row r="21" ht="80" customHeight="1" s="142">
      <c r="B21" s="82" t="inlineStr">
        <is>
          <t>ADP</t>
        </is>
      </c>
      <c r="C21" s="75" t="inlineStr">
        <is>
          <t>Global application that includes all employee information and can trarnsmit data across borders.</t>
        </is>
      </c>
      <c r="D21" s="75" t="inlineStr">
        <is>
          <t>Active</t>
        </is>
      </c>
      <c r="E21" s="75" t="inlineStr">
        <is>
          <t>ADP</t>
        </is>
      </c>
      <c r="F21" s="75" t="n"/>
      <c r="G21" s="75" t="inlineStr">
        <is>
          <t>Enterprise</t>
        </is>
      </c>
      <c r="H21" s="75" t="n"/>
      <c r="I21" s="75" t="n"/>
      <c r="J21" s="75" t="inlineStr">
        <is>
          <t>Other</t>
        </is>
      </c>
      <c r="K21" s="75" t="inlineStr">
        <is>
          <t>Saas</t>
        </is>
      </c>
      <c r="L21" s="75" t="n"/>
      <c r="M21" s="75" t="n"/>
      <c r="N21" s="75" t="n"/>
      <c r="O21" s="75" t="n"/>
      <c r="P21" s="75" t="n"/>
      <c r="Q21" s="75" t="inlineStr">
        <is>
          <t>No</t>
        </is>
      </c>
      <c r="R21" s="75" t="n"/>
      <c r="S21" s="75" t="n"/>
      <c r="T21" s="76" t="n"/>
      <c r="U21" s="75" t="n"/>
      <c r="V21" s="76" t="n"/>
      <c r="Y21" s="153" t="inlineStr">
        <is>
          <t>Global Inv - Mar 2026</t>
        </is>
      </c>
      <c r="Z21" s="153" t="inlineStr">
        <is>
          <t>Payroll and human resources management software</t>
        </is>
      </c>
      <c r="AA21" s="153" t="inlineStr">
        <is>
          <t>Human Resources and Talent</t>
        </is>
      </c>
      <c r="AB21" s="121">
        <f>VLOOKUP(AA21,CategorySummaryTable[],2,FALSE)</f>
        <v/>
      </c>
    </row>
    <row r="22" ht="80" customHeight="1" s="142">
      <c r="B22" s="82" t="inlineStr">
        <is>
          <t>ADP eTime</t>
        </is>
      </c>
      <c r="C22" s="75" t="inlineStr">
        <is>
          <t>Time keeping system that tracks all hourly employee time. System also tracks PTO.</t>
        </is>
      </c>
      <c r="D22" s="75" t="inlineStr">
        <is>
          <t>Active</t>
        </is>
      </c>
      <c r="E22" s="75" t="inlineStr">
        <is>
          <t>ADP</t>
        </is>
      </c>
      <c r="F22" s="75" t="n"/>
      <c r="G22" s="75" t="inlineStr">
        <is>
          <t>Enterprise</t>
        </is>
      </c>
      <c r="H22" s="75" t="n"/>
      <c r="I22" s="75" t="n"/>
      <c r="J22" s="75" t="inlineStr">
        <is>
          <t>Other</t>
        </is>
      </c>
      <c r="K22" s="75" t="inlineStr">
        <is>
          <t>SaaS</t>
        </is>
      </c>
      <c r="L22" s="75" t="n"/>
      <c r="M22" s="75" t="n"/>
      <c r="N22" s="75" t="n"/>
      <c r="O22" s="75" t="n"/>
      <c r="P22" s="75" t="n"/>
      <c r="Q22" s="75" t="inlineStr">
        <is>
          <t>No</t>
        </is>
      </c>
      <c r="R22" s="75" t="n"/>
      <c r="S22" s="75" t="n"/>
      <c r="T22" s="76" t="n"/>
      <c r="U22" s="75" t="inlineStr">
        <is>
          <t>Ask Davinia Londregan. Module within ADP?</t>
        </is>
      </c>
      <c r="V22" s="76" t="n"/>
      <c r="Y22" s="153" t="inlineStr">
        <is>
          <t>Global Inv - Mar 2026</t>
        </is>
      </c>
      <c r="Z22" s="153" t="inlineStr">
        <is>
          <t>Employee time and attendance tracking software</t>
        </is>
      </c>
      <c r="AA22" s="153" t="inlineStr">
        <is>
          <t>Human Resources and Talent</t>
        </is>
      </c>
      <c r="AB22" s="121">
        <f>VLOOKUP(AA22,CategorySummaryTable[],2,FALSE)</f>
        <v/>
      </c>
    </row>
    <row r="23" ht="80" customHeight="1" s="142">
      <c r="B23" s="82" t="inlineStr">
        <is>
          <t>ADP TimeManagement</t>
        </is>
      </c>
      <c r="C23" s="75" t="inlineStr">
        <is>
          <t>Time management system that includes employee data such as name, address, time off, PTO balances, etc.</t>
        </is>
      </c>
      <c r="D23" s="75" t="inlineStr">
        <is>
          <t>Active</t>
        </is>
      </c>
      <c r="E23" s="75" t="inlineStr">
        <is>
          <t>ADP</t>
        </is>
      </c>
      <c r="F23" s="75" t="n"/>
      <c r="G23" s="75" t="n"/>
      <c r="H23" s="75" t="inlineStr">
        <is>
          <t>France</t>
        </is>
      </c>
      <c r="I23" s="75" t="n"/>
      <c r="J23" s="75" t="inlineStr">
        <is>
          <t>Other</t>
        </is>
      </c>
      <c r="K23" s="75" t="inlineStr">
        <is>
          <t>Saas</t>
        </is>
      </c>
      <c r="L23" s="75" t="n"/>
      <c r="M23" s="75" t="n"/>
      <c r="N23" s="75" t="n"/>
      <c r="O23" s="75" t="n"/>
      <c r="P23" s="75" t="n"/>
      <c r="Q23" s="75" t="inlineStr">
        <is>
          <t>No</t>
        </is>
      </c>
      <c r="R23" s="75" t="n"/>
      <c r="S23" s="75" t="n"/>
      <c r="T23" s="76" t="n"/>
      <c r="U23" s="75" t="inlineStr">
        <is>
          <t>Ask Davinia Londregan. Module within ADP?</t>
        </is>
      </c>
      <c r="V23" s="76" t="n"/>
      <c r="Y23" s="153" t="inlineStr">
        <is>
          <t>Global Inv - Mar 2026</t>
        </is>
      </c>
      <c r="Z23" s="153" t="inlineStr">
        <is>
          <t>Workforce time and attendance management software</t>
        </is>
      </c>
      <c r="AA23" s="153" t="inlineStr">
        <is>
          <t>Human Resources and Talent</t>
        </is>
      </c>
      <c r="AB23" s="121">
        <f>VLOOKUP(AA23,CategorySummaryTable[],2,FALSE)</f>
        <v/>
      </c>
    </row>
    <row r="24" ht="64" customHeight="1" s="142">
      <c r="B24" s="53" t="inlineStr">
        <is>
          <t>Agile Product Lifecycle Management (PLM)</t>
        </is>
      </c>
      <c r="C24" s="75" t="inlineStr">
        <is>
          <t>Quality document system / Change Management tool</t>
        </is>
      </c>
      <c r="D24" s="75" t="inlineStr">
        <is>
          <t>Active</t>
        </is>
      </c>
      <c r="E24" s="75" t="inlineStr">
        <is>
          <t>Oracle</t>
        </is>
      </c>
      <c r="F24" s="75" t="n"/>
      <c r="G24" s="75" t="n"/>
      <c r="H24" s="75" t="inlineStr">
        <is>
          <t>York</t>
        </is>
      </c>
      <c r="I24" s="75" t="n"/>
      <c r="J24" s="75" t="inlineStr">
        <is>
          <t>OCI</t>
        </is>
      </c>
      <c r="K24" s="75" t="inlineStr">
        <is>
          <t>On Premises (Client/Server)</t>
        </is>
      </c>
      <c r="L24" s="75" t="n"/>
      <c r="M24" s="75" t="n"/>
      <c r="N24" s="75" t="n"/>
      <c r="O24" s="75" t="n"/>
      <c r="P24" s="75" t="inlineStr">
        <is>
          <t>T1</t>
        </is>
      </c>
      <c r="Q24" s="75" t="inlineStr">
        <is>
          <t>Yes</t>
        </is>
      </c>
      <c r="R24" s="75" t="inlineStr">
        <is>
          <t>4, 5</t>
        </is>
      </c>
      <c r="S24" s="75" t="inlineStr">
        <is>
          <t>Dave Kreminski</t>
        </is>
      </c>
      <c r="T24" s="76" t="n">
        <v>45673</v>
      </c>
      <c r="U24" s="75" t="inlineStr">
        <is>
          <t>Verified via George Groom</t>
        </is>
      </c>
      <c r="V24" s="76" t="n">
        <v>44634</v>
      </c>
      <c r="Y24" s="153" t="inlineStr">
        <is>
          <t>Global Inv - Mar 2026</t>
        </is>
      </c>
      <c r="Z24" s="153" t="inlineStr">
        <is>
          <t>Product lifecycle management (PLM) software</t>
        </is>
      </c>
      <c r="AA24" s="153" t="inlineStr">
        <is>
          <t>IT Operations</t>
        </is>
      </c>
      <c r="AB24" s="121">
        <f>VLOOKUP(AA24,CategorySummaryTable[],2,FALSE)</f>
        <v/>
      </c>
    </row>
    <row r="25" ht="96" customHeight="1" s="142">
      <c r="B25" s="80" t="inlineStr">
        <is>
          <t>AGILE Proship</t>
        </is>
      </c>
      <c r="C25" s="75" t="inlineStr">
        <is>
          <t>Used to calculate shipping integrating into Oracle for sales order processing. Print product shipping labels</t>
        </is>
      </c>
      <c r="D25" s="75" t="inlineStr">
        <is>
          <t>Decommissioned</t>
        </is>
      </c>
      <c r="E25" s="75" t="inlineStr">
        <is>
          <t>Oracle and ProShip (fka, Best Way Technologies a wholly owned subsidiary of Systems &amp; Programming Solutions, Inc)</t>
        </is>
      </c>
      <c r="F25" s="75" t="n"/>
      <c r="G25" s="75" t="inlineStr">
        <is>
          <t>Enterprise</t>
        </is>
      </c>
      <c r="H25" s="75" t="n"/>
      <c r="I25" s="75" t="inlineStr">
        <is>
          <t>Yes</t>
        </is>
      </c>
      <c r="J25" s="75" t="n"/>
      <c r="K25" s="75" t="inlineStr">
        <is>
          <t>On Premises (Client/Server)</t>
        </is>
      </c>
      <c r="L25" s="75" t="n"/>
      <c r="M25" s="75" t="n"/>
      <c r="N25" s="75" t="inlineStr">
        <is>
          <t>Yes</t>
        </is>
      </c>
      <c r="O25" s="75" t="n"/>
      <c r="P25" s="75" t="inlineStr">
        <is>
          <t>T1</t>
        </is>
      </c>
      <c r="Q25" s="75" t="inlineStr">
        <is>
          <t>No</t>
        </is>
      </c>
      <c r="R25" s="75" t="n"/>
      <c r="S25" s="75" t="n"/>
      <c r="T25" s="76" t="n"/>
      <c r="U25" s="75" t="n"/>
      <c r="V25" s="76" t="n"/>
      <c r="Y25" s="153" t="inlineStr">
        <is>
          <t>Global Inv - Mar 2026</t>
        </is>
      </c>
      <c r="Z25" s="153" t="inlineStr">
        <is>
          <t>Multi-carrier shipping and label software integrated with ERP</t>
        </is>
      </c>
      <c r="AA25" s="153" t="inlineStr">
        <is>
          <t>Supply Chain and Distribution</t>
        </is>
      </c>
      <c r="AB25" s="121">
        <f>VLOOKUP(AA25,CategorySummaryTable[],2,FALSE)</f>
        <v/>
      </c>
    </row>
    <row r="26" ht="96" customHeight="1" s="142">
      <c r="B26" s="54" t="inlineStr">
        <is>
          <t>AgileShip</t>
        </is>
      </c>
      <c r="C26" s="84" t="inlineStr">
        <is>
          <t>Shipping software the prints labels for shipments to customers.</t>
        </is>
      </c>
      <c r="D26" s="55" t="inlineStr">
        <is>
          <t>Active</t>
        </is>
      </c>
      <c r="E26" s="84" t="inlineStr">
        <is>
          <t>ProShip (fka, Best Way Technologies a wholly owned subsidiary of Systems &amp; Programming Solutions, Inc)</t>
        </is>
      </c>
      <c r="F26" s="84" t="n"/>
      <c r="G26" s="84" t="n"/>
      <c r="H26" s="84" t="inlineStr">
        <is>
          <t>York, Reno, Salt Lake City, Vista</t>
        </is>
      </c>
      <c r="I26" s="84" t="inlineStr">
        <is>
          <t>No</t>
        </is>
      </c>
      <c r="J26" s="84" t="n"/>
      <c r="K26" s="84" t="inlineStr">
        <is>
          <t>SaaS</t>
        </is>
      </c>
      <c r="L26" s="84" t="n"/>
      <c r="M26" s="84" t="n"/>
      <c r="N26" s="84" t="inlineStr">
        <is>
          <t>Yes</t>
        </is>
      </c>
      <c r="O26" s="84" t="n"/>
      <c r="P26" s="85" t="inlineStr">
        <is>
          <t>T1?</t>
        </is>
      </c>
      <c r="Q26" s="84" t="inlineStr">
        <is>
          <t>No</t>
        </is>
      </c>
      <c r="R26" s="84" t="n"/>
      <c r="S26" s="84" t="n"/>
      <c r="T26" s="86" t="n"/>
      <c r="U26" s="84" t="n"/>
      <c r="V26" s="76" t="n"/>
      <c r="Y26" s="153" t="inlineStr">
        <is>
          <t>Global Inv - Mar 2026</t>
        </is>
      </c>
      <c r="Z26" s="153" t="inlineStr">
        <is>
          <t>Multi-carrier shipping and label printing software</t>
        </is>
      </c>
      <c r="AA26" s="153" t="inlineStr">
        <is>
          <t>Supply Chain and Distribution</t>
        </is>
      </c>
      <c r="AB26" s="121">
        <f>VLOOKUP(AA26,CategorySummaryTable[],2,FALSE)</f>
        <v/>
      </c>
    </row>
    <row r="27" ht="64" customHeight="1" s="142">
      <c r="B27" s="80" t="inlineStr">
        <is>
          <t>Agile UDI (Unique Device Identifier)</t>
        </is>
      </c>
      <c r="C27" s="75" t="inlineStr">
        <is>
          <t>Tolerance during the weekend and after working hours.
Negotiate with business.
Final step in registering products in the US.
Note this shares some space with the Trackwise MDR connector.</t>
        </is>
      </c>
      <c r="D27" s="75" t="inlineStr">
        <is>
          <t>Active</t>
        </is>
      </c>
      <c r="E27" s="75" t="inlineStr">
        <is>
          <t>Agile PLM</t>
        </is>
      </c>
      <c r="F27" s="75" t="n"/>
      <c r="G27" s="75" t="inlineStr">
        <is>
          <t>Enterprise</t>
        </is>
      </c>
      <c r="H27" s="75" t="n"/>
      <c r="I27" s="75" t="inlineStr">
        <is>
          <t>Yes</t>
        </is>
      </c>
      <c r="J27" s="75" t="n"/>
      <c r="K27" s="75" t="n"/>
      <c r="L27" s="75" t="n"/>
      <c r="M27" s="75" t="n"/>
      <c r="N27" s="75" t="inlineStr">
        <is>
          <t>No</t>
        </is>
      </c>
      <c r="O27" s="75" t="n"/>
      <c r="P27" s="75" t="inlineStr">
        <is>
          <t>T1</t>
        </is>
      </c>
      <c r="Q27" s="75" t="inlineStr">
        <is>
          <t>Yes</t>
        </is>
      </c>
      <c r="R27" s="75" t="inlineStr">
        <is>
          <t>4, 5</t>
        </is>
      </c>
      <c r="S27" s="75" t="n"/>
      <c r="T27" s="76" t="n"/>
      <c r="U27" s="75" t="n"/>
      <c r="V27" s="76" t="n"/>
      <c r="Y27" s="153" t="inlineStr">
        <is>
          <t>Global Inv - Mar 2026</t>
        </is>
      </c>
      <c r="Z27" s="153" t="inlineStr">
        <is>
          <t>Unique Device Identification (UDI) regulatory registration software</t>
        </is>
      </c>
      <c r="AA27" s="153" t="inlineStr">
        <is>
          <t>Engineering</t>
        </is>
      </c>
      <c r="AB27" s="121">
        <f>VLOOKUP(AA27,CategorySummaryTable[],2,FALSE)</f>
        <v/>
      </c>
    </row>
    <row r="28" ht="80" customHeight="1" s="142">
      <c r="B28" s="56" t="inlineStr">
        <is>
          <t>Agilent Resolutions Pro</t>
        </is>
      </c>
      <c r="C28" s="75" t="inlineStr">
        <is>
          <t>R&amp;D application that houses study results without patient or sensitive information.</t>
        </is>
      </c>
      <c r="D28" s="75" t="inlineStr">
        <is>
          <t>Unknown</t>
        </is>
      </c>
      <c r="E28" s="75" t="inlineStr">
        <is>
          <t>Agilent</t>
        </is>
      </c>
      <c r="F28" s="75" t="n"/>
      <c r="G28" s="75" t="n"/>
      <c r="H28" s="75" t="inlineStr">
        <is>
          <t>Plainsboro Corp</t>
        </is>
      </c>
      <c r="I28" s="75" t="n"/>
      <c r="J28" s="75" t="n"/>
      <c r="K28" s="75" t="inlineStr">
        <is>
          <t>Desktop</t>
        </is>
      </c>
      <c r="L28" s="75" t="n"/>
      <c r="M28" s="75" t="n"/>
      <c r="N28" s="75" t="n"/>
      <c r="O28" s="75" t="n"/>
      <c r="P28" s="75" t="n"/>
      <c r="Q28" s="75" t="inlineStr">
        <is>
          <t>Yes</t>
        </is>
      </c>
      <c r="R28" s="75" t="n"/>
      <c r="S28" s="75" t="n"/>
      <c r="T28" s="76" t="n"/>
      <c r="U28" s="75" t="inlineStr">
        <is>
          <t>Sheleheda, David</t>
        </is>
      </c>
      <c r="V28" s="76" t="n"/>
      <c r="Y28" s="153" t="inlineStr">
        <is>
          <t>Global Inv - Mar 2026</t>
        </is>
      </c>
      <c r="Z28" s="153" t="inlineStr">
        <is>
          <t>Spectroscopy/chromatography data analysis software</t>
        </is>
      </c>
      <c r="AA28" s="153" t="inlineStr">
        <is>
          <t>Clinical Manufacturing Process</t>
        </is>
      </c>
      <c r="AB28" s="121">
        <f>VLOOKUP(AA28,CategorySummaryTable[],2,FALSE)</f>
        <v/>
      </c>
    </row>
    <row r="29" ht="96" customHeight="1" s="142">
      <c r="B29" s="56" t="inlineStr">
        <is>
          <t>Agileview</t>
        </is>
      </c>
      <c r="C29" s="75" t="inlineStr">
        <is>
          <t>Shipping software used to ship products to customer. Includes customer data.</t>
        </is>
      </c>
      <c r="D29" s="75" t="inlineStr">
        <is>
          <t>Decommissioned</t>
        </is>
      </c>
      <c r="E29" s="75" t="n"/>
      <c r="F29" s="75" t="n"/>
      <c r="G29" s="75" t="n"/>
      <c r="H29" s="75" t="inlineStr">
        <is>
          <t>Cincinnati</t>
        </is>
      </c>
      <c r="I29" s="75" t="n"/>
      <c r="J29" s="75" t="n"/>
      <c r="K29" s="75" t="inlineStr">
        <is>
          <t>Desktop</t>
        </is>
      </c>
      <c r="L29" s="75" t="n"/>
      <c r="M29" s="75" t="n"/>
      <c r="N29" s="75" t="n"/>
      <c r="O29" s="75" t="n"/>
      <c r="P29" s="75" t="n"/>
      <c r="Q29" s="75" t="inlineStr">
        <is>
          <t>Yes</t>
        </is>
      </c>
      <c r="R29" s="75" t="n"/>
      <c r="S29" s="75" t="n"/>
      <c r="T29" s="76" t="n"/>
      <c r="U29" s="75" t="inlineStr">
        <is>
          <t>check with LaRae Pettit</t>
        </is>
      </c>
      <c r="V29" s="76" t="n"/>
      <c r="Y29" s="153" t="inlineStr">
        <is>
          <t>Global Inv - Mar 2026</t>
        </is>
      </c>
      <c r="Z29" s="153" t="inlineStr">
        <is>
          <t>NA</t>
        </is>
      </c>
      <c r="AA29" s="153" t="inlineStr">
        <is>
          <t>Supply Chain and Distribution</t>
        </is>
      </c>
      <c r="AB29" s="121">
        <f>VLOOKUP(AA29,CategorySummaryTable[],2,FALSE)</f>
        <v/>
      </c>
    </row>
    <row r="30" ht="80" customHeight="1" s="142">
      <c r="B30" s="77" t="inlineStr">
        <is>
          <t>Air Gauge ???</t>
        </is>
      </c>
      <c r="C30" s="75" t="inlineStr">
        <is>
          <t>Device record management system</t>
        </is>
      </c>
      <c r="D30" s="75" t="inlineStr">
        <is>
          <t>Unknown</t>
        </is>
      </c>
      <c r="E30" s="75" t="n"/>
      <c r="F30" s="75" t="n"/>
      <c r="G30" s="75" t="n"/>
      <c r="H30" s="75" t="inlineStr">
        <is>
          <t>Puerto Rico</t>
        </is>
      </c>
      <c r="I30" s="75" t="n"/>
      <c r="J30" s="75" t="n"/>
      <c r="K30" s="75" t="inlineStr">
        <is>
          <t>Desktop</t>
        </is>
      </c>
      <c r="L30" s="75" t="n"/>
      <c r="M30" s="75" t="n"/>
      <c r="N30" s="75" t="n"/>
      <c r="O30" s="75" t="n"/>
      <c r="P30" s="75" t="n"/>
      <c r="Q30" s="75" t="inlineStr">
        <is>
          <t>Yes</t>
        </is>
      </c>
      <c r="R30" s="75" t="n"/>
      <c r="S30" s="75" t="n"/>
      <c r="T30" s="76" t="n"/>
      <c r="U30" s="75" t="n"/>
      <c r="V30" s="76" t="n"/>
      <c r="Y30" s="153" t="inlineStr">
        <is>
          <t>Global Inv - Mar 2026</t>
        </is>
      </c>
      <c r="Z30" s="153" t="inlineStr">
        <is>
          <t>NA</t>
        </is>
      </c>
      <c r="AA30" s="153" t="inlineStr">
        <is>
          <t>Quality and Validation</t>
        </is>
      </c>
      <c r="AB30" s="121">
        <f>VLOOKUP(AA30,CategorySummaryTable[],2,FALSE)</f>
        <v/>
      </c>
    </row>
    <row r="31" ht="80" customHeight="1" s="142">
      <c r="B31" s="80" t="inlineStr">
        <is>
          <t>AlertMedia</t>
        </is>
      </c>
      <c r="C31" s="75" t="inlineStr">
        <is>
          <t>Emergency communication system</t>
        </is>
      </c>
      <c r="D31" s="75" t="inlineStr">
        <is>
          <t>Unknown</t>
        </is>
      </c>
      <c r="E31" s="75" t="inlineStr">
        <is>
          <t>AlertMedia + Vista Equity Partners</t>
        </is>
      </c>
      <c r="F31" s="75" t="n"/>
      <c r="G31" s="75" t="n"/>
      <c r="H31" s="75" t="n"/>
      <c r="I31" s="75" t="n"/>
      <c r="J31" s="75" t="inlineStr">
        <is>
          <t>Other</t>
        </is>
      </c>
      <c r="K31" s="75" t="n"/>
      <c r="L31" s="75" t="n"/>
      <c r="M31" s="75" t="n"/>
      <c r="N31" s="75" t="n"/>
      <c r="O31" s="75" t="n"/>
      <c r="P31" s="75" t="n"/>
      <c r="Q31" s="75" t="n"/>
      <c r="R31" s="75" t="n"/>
      <c r="S31" s="75" t="n"/>
      <c r="T31" s="76" t="n"/>
      <c r="U31" s="75" t="inlineStr">
        <is>
          <t>Tim Sharkey</t>
        </is>
      </c>
      <c r="V31" s="76" t="n"/>
      <c r="Y31" s="153" t="inlineStr">
        <is>
          <t>Global Inv - Mar 2026</t>
        </is>
      </c>
      <c r="Z31" s="153" t="inlineStr">
        <is>
          <t>Emergency mass notification and communication software</t>
        </is>
      </c>
      <c r="AA31" s="153" t="inlineStr">
        <is>
          <t>Compliance and Risk</t>
        </is>
      </c>
      <c r="AB31" s="121">
        <f>VLOOKUP(AA31,CategorySummaryTable[],2,FALSE)</f>
        <v/>
      </c>
    </row>
    <row r="32" ht="80" customHeight="1" s="142">
      <c r="B32" s="77" t="inlineStr">
        <is>
          <t>Ansure</t>
        </is>
      </c>
      <c r="C32" s="75" t="inlineStr">
        <is>
          <t>Temperature measurement</t>
        </is>
      </c>
      <c r="D32" s="75" t="inlineStr">
        <is>
          <t>Unknown</t>
        </is>
      </c>
      <c r="E32" s="75" t="inlineStr">
        <is>
          <t>AnsureSoftware</t>
        </is>
      </c>
      <c r="F32" s="75" t="n"/>
      <c r="G32" s="75" t="n"/>
      <c r="H32" s="75" t="inlineStr">
        <is>
          <t>Tullamore</t>
        </is>
      </c>
      <c r="I32" s="75" t="n"/>
      <c r="J32" s="75" t="n"/>
      <c r="K32" s="75" t="inlineStr">
        <is>
          <t>Desktop</t>
        </is>
      </c>
      <c r="L32" s="75" t="n"/>
      <c r="M32" s="75" t="n"/>
      <c r="N32" s="75" t="n"/>
      <c r="O32" s="75" t="n"/>
      <c r="P32" s="75" t="n"/>
      <c r="Q32" s="75" t="inlineStr">
        <is>
          <t>Yes</t>
        </is>
      </c>
      <c r="R32" s="75" t="n"/>
      <c r="S32" s="75" t="n"/>
      <c r="T32" s="76" t="n"/>
      <c r="U32" s="75" t="inlineStr">
        <is>
          <t>Ian Gemmell</t>
        </is>
      </c>
      <c r="V32" s="76" t="n"/>
      <c r="Y32" s="153" t="inlineStr">
        <is>
          <t>Global Inv - Mar 2026</t>
        </is>
      </c>
      <c r="Z32" s="153" t="inlineStr">
        <is>
          <t>NA</t>
        </is>
      </c>
      <c r="AA32" s="153" t="inlineStr">
        <is>
          <t>Manufacturing</t>
        </is>
      </c>
      <c r="AB32" s="121">
        <f>VLOOKUP(AA32,CategorySummaryTable[],2,FALSE)</f>
        <v/>
      </c>
    </row>
    <row r="33" ht="64" customHeight="1" s="142">
      <c r="B33" s="77" t="inlineStr">
        <is>
          <t>Anvsoft Photo Slideshow Maker Platinum</t>
        </is>
      </c>
      <c r="C33" s="75" t="n"/>
      <c r="D33" s="75" t="inlineStr">
        <is>
          <t>Unknown</t>
        </is>
      </c>
      <c r="E33" s="75" t="inlineStr">
        <is>
          <t>AnvoSoft</t>
        </is>
      </c>
      <c r="F33" s="75" t="n"/>
      <c r="G33" s="75" t="n"/>
      <c r="H33" s="75" t="inlineStr">
        <is>
          <t>St. Aubin</t>
        </is>
      </c>
      <c r="I33" s="75" t="inlineStr">
        <is>
          <t>Unknown</t>
        </is>
      </c>
      <c r="J33" s="75" t="inlineStr">
        <is>
          <t>Unknown</t>
        </is>
      </c>
      <c r="K33" s="75" t="n"/>
      <c r="L33" s="75" t="n"/>
      <c r="M33" s="75" t="n"/>
      <c r="N33" s="75" t="n"/>
      <c r="O33" s="75" t="n"/>
      <c r="P33" s="75" t="n"/>
      <c r="Q33" s="75" t="n"/>
      <c r="R33" s="75" t="n"/>
      <c r="S33" s="75" t="n"/>
      <c r="T33" s="76" t="n"/>
      <c r="U33" s="75" t="inlineStr">
        <is>
          <t>Daniel Marabotti</t>
        </is>
      </c>
      <c r="V33" s="76" t="n"/>
      <c r="Y33" s="153" t="inlineStr">
        <is>
          <t>Global Inv - Mar 2026</t>
        </is>
      </c>
      <c r="Z33" s="153" t="inlineStr">
        <is>
          <t>Photo slideshow creation software</t>
        </is>
      </c>
      <c r="AA33" s="153" t="inlineStr">
        <is>
          <t>IT Operations</t>
        </is>
      </c>
      <c r="AB33" s="121">
        <f>VLOOKUP(AA33,CategorySummaryTable[],2,FALSE)</f>
        <v/>
      </c>
    </row>
    <row r="34" ht="80" customHeight="1" s="142">
      <c r="B34" s="82" t="inlineStr">
        <is>
          <t>App-ETL</t>
        </is>
      </c>
      <c r="C34" s="75" t="inlineStr">
        <is>
          <t>ETL tool for Oracle/ Agile integration team. DataStage, to be updated to Data Factory (and retire this app).</t>
        </is>
      </c>
      <c r="D34" s="75" t="inlineStr">
        <is>
          <t>Active</t>
        </is>
      </c>
      <c r="E34" s="75" t="inlineStr">
        <is>
          <t>IBM</t>
        </is>
      </c>
      <c r="F34" s="75" t="n"/>
      <c r="G34" s="75" t="n"/>
      <c r="H34" s="75" t="inlineStr">
        <is>
          <t>Corporate</t>
        </is>
      </c>
      <c r="I34" s="75" t="inlineStr">
        <is>
          <t>Yes</t>
        </is>
      </c>
      <c r="J34" s="75" t="n"/>
      <c r="K34" s="75" t="inlineStr">
        <is>
          <t>Remote Desktop</t>
        </is>
      </c>
      <c r="L34" s="75" t="n"/>
      <c r="M34" s="75" t="inlineStr">
        <is>
          <t>No</t>
        </is>
      </c>
      <c r="N34" s="75" t="n"/>
      <c r="O34" s="75" t="n"/>
      <c r="P34" s="75" t="inlineStr">
        <is>
          <t>T3</t>
        </is>
      </c>
      <c r="Q34" s="75" t="inlineStr">
        <is>
          <t>No</t>
        </is>
      </c>
      <c r="R34" s="75" t="n"/>
      <c r="S34" s="75" t="inlineStr">
        <is>
          <t>John O'Callaghan</t>
        </is>
      </c>
      <c r="T34" s="76" t="n">
        <v>44658</v>
      </c>
      <c r="U34" s="75" t="inlineStr">
        <is>
          <t>Verified via John O'Callaghan</t>
        </is>
      </c>
      <c r="V34" s="76" t="n">
        <v>44658</v>
      </c>
      <c r="Y34" s="153" t="inlineStr">
        <is>
          <t>Global Inv - Mar 2026</t>
        </is>
      </c>
      <c r="Z34" s="153" t="inlineStr">
        <is>
          <t>Extract, transform, load (ETL) data integration software</t>
        </is>
      </c>
      <c r="AA34" s="153" t="inlineStr">
        <is>
          <t>Data and Analytics</t>
        </is>
      </c>
      <c r="AB34" s="121">
        <f>VLOOKUP(AA34,CategorySummaryTable[],2,FALSE)</f>
        <v/>
      </c>
    </row>
    <row r="35" ht="64" customHeight="1" s="142">
      <c r="B35" s="53" t="inlineStr">
        <is>
          <t>App-ETL</t>
        </is>
      </c>
      <c r="C35" s="75" t="inlineStr">
        <is>
          <t>ETL tool for Oracle/ Agile integration team. This app includes Datafactory, Azure SQL, and Azure blob storage platform services.
Resource library: https://integralife.sharepoint.com/sites/Azure/AppETL/Forms/AllItems.aspx</t>
        </is>
      </c>
      <c r="D35" s="75" t="inlineStr">
        <is>
          <t>In progress</t>
        </is>
      </c>
      <c r="E35" s="75" t="inlineStr">
        <is>
          <t>Microsoft</t>
        </is>
      </c>
      <c r="F35" s="75" t="n"/>
      <c r="G35" s="75" t="n"/>
      <c r="H35" s="75" t="inlineStr">
        <is>
          <t>Corporate</t>
        </is>
      </c>
      <c r="I35" s="75" t="n"/>
      <c r="J35" s="75" t="inlineStr">
        <is>
          <t>Azure</t>
        </is>
      </c>
      <c r="K35" s="75" t="inlineStr">
        <is>
          <t>Cloud</t>
        </is>
      </c>
      <c r="L35" s="75" t="n"/>
      <c r="M35" s="75" t="inlineStr">
        <is>
          <t>Yes</t>
        </is>
      </c>
      <c r="N35" s="75" t="n"/>
      <c r="O35" s="75" t="n"/>
      <c r="P35" s="75" t="inlineStr">
        <is>
          <t>T3</t>
        </is>
      </c>
      <c r="Q35" s="75" t="inlineStr">
        <is>
          <t>No</t>
        </is>
      </c>
      <c r="R35" s="75" t="n"/>
      <c r="S35" s="75" t="inlineStr">
        <is>
          <t>Amit Singhal, Vincent Lu, Matt Yao</t>
        </is>
      </c>
      <c r="T35" s="76" t="n">
        <v>44656</v>
      </c>
      <c r="U35" s="75" t="inlineStr">
        <is>
          <t>Verified via Amit Singhal, Vincent Lu, Matt Yao</t>
        </is>
      </c>
      <c r="V35" s="76" t="n">
        <v>44656</v>
      </c>
      <c r="Y35" s="153" t="inlineStr">
        <is>
          <t>Global Inv - Mar 2026</t>
        </is>
      </c>
      <c r="Z35" s="153" t="inlineStr">
        <is>
          <t>Cloud-based data integration and ETL platform services</t>
        </is>
      </c>
      <c r="AA35" s="153" t="inlineStr">
        <is>
          <t>IT Operations</t>
        </is>
      </c>
      <c r="AB35" s="121">
        <f>VLOOKUP(AA35,CategorySummaryTable[],2,FALSE)</f>
        <v/>
      </c>
    </row>
    <row r="36" ht="80" customHeight="1" s="142">
      <c r="B36" s="80" t="inlineStr">
        <is>
          <t>Aquire (HR)</t>
        </is>
      </c>
      <c r="C36" s="75" t="inlineStr">
        <is>
          <t>Application Tracking Software (ATS), onboarding document management, https://acquiretm.com/</t>
        </is>
      </c>
      <c r="D36" s="75" t="inlineStr">
        <is>
          <t>Unknown</t>
        </is>
      </c>
      <c r="E36" s="75" t="inlineStr">
        <is>
          <t>Acquire Talent Management</t>
        </is>
      </c>
      <c r="F36" s="75" t="n"/>
      <c r="G36" s="75" t="n"/>
      <c r="H36" s="75" t="n"/>
      <c r="I36" s="75" t="inlineStr">
        <is>
          <t>Unknown</t>
        </is>
      </c>
      <c r="J36" s="75" t="inlineStr">
        <is>
          <t>Unknown</t>
        </is>
      </c>
      <c r="K36" s="75" t="n"/>
      <c r="L36" s="75" t="n"/>
      <c r="M36" s="75" t="n"/>
      <c r="N36" s="75" t="n"/>
      <c r="O36" s="75" t="n"/>
      <c r="P36" s="75" t="n"/>
      <c r="Q36" s="75" t="n"/>
      <c r="R36" s="75" t="n"/>
      <c r="S36" s="75" t="n"/>
      <c r="T36" s="76" t="n"/>
      <c r="U36" s="75" t="inlineStr">
        <is>
          <t>Norma Frahn</t>
        </is>
      </c>
      <c r="V36" s="76" t="n"/>
      <c r="Y36" s="153" t="inlineStr">
        <is>
          <t>Global Inv - Mar 2026</t>
        </is>
      </c>
      <c r="Z36" s="153" t="inlineStr">
        <is>
          <t>Applicant tracking and onboarding software</t>
        </is>
      </c>
      <c r="AA36" s="153" t="inlineStr">
        <is>
          <t>Human Resources and Talent</t>
        </is>
      </c>
      <c r="AB36" s="121">
        <f>VLOOKUP(AA36,CategorySummaryTable[],2,FALSE)</f>
        <v/>
      </c>
    </row>
    <row r="37" ht="80" customHeight="1" s="142">
      <c r="B37" s="80" t="inlineStr">
        <is>
          <t>Aquire OrgPublisher</t>
        </is>
      </c>
      <c r="C37" s="75" t="n"/>
      <c r="D37" s="75" t="inlineStr">
        <is>
          <t>Unknown</t>
        </is>
      </c>
      <c r="E37" s="75" t="n"/>
      <c r="F37" s="75" t="n"/>
      <c r="G37" s="75" t="n"/>
      <c r="H37" s="75" t="n"/>
      <c r="I37" s="75" t="n"/>
      <c r="J37" s="75" t="inlineStr">
        <is>
          <t>Other</t>
        </is>
      </c>
      <c r="K37" s="75" t="n"/>
      <c r="L37" s="75" t="n"/>
      <c r="M37" s="75" t="n"/>
      <c r="N37" s="75" t="n"/>
      <c r="O37" s="75" t="n"/>
      <c r="P37" s="75" t="n"/>
      <c r="Q37" s="75" t="n"/>
      <c r="R37" s="75" t="n"/>
      <c r="S37" s="75" t="n"/>
      <c r="T37" s="76" t="n"/>
      <c r="U37" s="75" t="inlineStr">
        <is>
          <t>Norma Frahn</t>
        </is>
      </c>
      <c r="V37" s="76" t="n"/>
      <c r="Y37" s="153" t="inlineStr">
        <is>
          <t>Global Inv - Mar 2026</t>
        </is>
      </c>
      <c r="Z37" s="153" t="inlineStr">
        <is>
          <t>Organizational charting and workforce reporting software</t>
        </is>
      </c>
      <c r="AA37" s="153" t="inlineStr">
        <is>
          <t>Human Resources and Talent</t>
        </is>
      </c>
      <c r="AB37" s="121">
        <f>VLOOKUP(AA37,CategorySummaryTable[],2,FALSE)</f>
        <v/>
      </c>
    </row>
    <row r="38" ht="80" customHeight="1" s="142">
      <c r="B38" s="77" t="inlineStr">
        <is>
          <t>ARO TESTER (3)</t>
        </is>
      </c>
      <c r="C38" s="75" t="inlineStr">
        <is>
          <t>Manufacturing software in PR</t>
        </is>
      </c>
      <c r="D38" s="75" t="inlineStr">
        <is>
          <t>Unknown</t>
        </is>
      </c>
      <c r="E38" s="75" t="n"/>
      <c r="F38" s="75" t="n"/>
      <c r="G38" s="75" t="n"/>
      <c r="H38" s="75" t="inlineStr">
        <is>
          <t>Puerto Rico</t>
        </is>
      </c>
      <c r="I38" s="75" t="inlineStr">
        <is>
          <t>Unknown</t>
        </is>
      </c>
      <c r="J38" s="75" t="inlineStr">
        <is>
          <t>Unknown</t>
        </is>
      </c>
      <c r="K38" s="75" t="n"/>
      <c r="L38" s="75" t="n"/>
      <c r="M38" s="75" t="n"/>
      <c r="N38" s="75" t="n"/>
      <c r="O38" s="75" t="n"/>
      <c r="P38" s="75" t="n"/>
      <c r="Q38" s="75" t="inlineStr">
        <is>
          <t>Yes</t>
        </is>
      </c>
      <c r="R38" s="75" t="n"/>
      <c r="S38" s="75" t="n"/>
      <c r="T38" s="76" t="n"/>
      <c r="U38" s="75" t="n"/>
      <c r="V38" s="76" t="n"/>
      <c r="Y38" s="153" t="inlineStr">
        <is>
          <t>Global Inv - Mar 2026</t>
        </is>
      </c>
      <c r="Z38" s="153" t="inlineStr">
        <is>
          <t>NA</t>
        </is>
      </c>
      <c r="AA38" s="153" t="inlineStr">
        <is>
          <t>Manufacturing</t>
        </is>
      </c>
      <c r="AB38" s="121">
        <f>VLOOKUP(AA38,CategorySummaryTable[],2,FALSE)</f>
        <v/>
      </c>
    </row>
    <row r="39" ht="64" customHeight="1" s="142">
      <c r="B39" s="80" t="inlineStr">
        <is>
          <t>ARS for Acell</t>
        </is>
      </c>
      <c r="C39" s="75" t="n"/>
      <c r="D39" s="75" t="inlineStr">
        <is>
          <t>Unknown</t>
        </is>
      </c>
      <c r="E39" s="75" t="n"/>
      <c r="F39" s="75" t="n"/>
      <c r="G39" s="75" t="n"/>
      <c r="H39" s="75" t="n"/>
      <c r="I39" s="75" t="n"/>
      <c r="J39" s="75" t="inlineStr">
        <is>
          <t>Other</t>
        </is>
      </c>
      <c r="K39" s="75" t="n"/>
      <c r="L39" s="75" t="n"/>
      <c r="M39" s="75" t="n"/>
      <c r="N39" s="75" t="n"/>
      <c r="O39" s="75" t="n"/>
      <c r="P39" s="75" t="n"/>
      <c r="Q39" s="75" t="n"/>
      <c r="R39" s="75" t="n"/>
      <c r="S39" s="75" t="n"/>
      <c r="T39" s="76" t="n"/>
      <c r="U39" s="75" t="inlineStr">
        <is>
          <t>Brian Sherfey / Michael Patterson</t>
        </is>
      </c>
      <c r="V39" s="76" t="n"/>
      <c r="Y39" s="153" t="inlineStr">
        <is>
          <t>Global Inv - Mar 2026</t>
        </is>
      </c>
      <c r="Z39" s="153" t="inlineStr">
        <is>
          <t>NA</t>
        </is>
      </c>
      <c r="AA39" s="153" t="inlineStr">
        <is>
          <t>IT Operations</t>
        </is>
      </c>
      <c r="AB39" s="121">
        <f>VLOOKUP(AA39,CategorySummaryTable[],2,FALSE)</f>
        <v/>
      </c>
    </row>
    <row r="40" ht="64" customHeight="1" s="142">
      <c r="B40" s="80" t="inlineStr">
        <is>
          <t>Aruba ClearPass</t>
        </is>
      </c>
      <c r="C40" s="87" t="inlineStr">
        <is>
          <t>For wireless authentication</t>
        </is>
      </c>
      <c r="D40" s="87" t="n"/>
      <c r="E40" s="88" t="n"/>
      <c r="F40" s="87" t="n"/>
      <c r="G40" s="88" t="n"/>
      <c r="H40" s="88" t="n"/>
      <c r="I40" s="88" t="n"/>
      <c r="J40" s="88" t="n"/>
      <c r="K40" s="88" t="n"/>
      <c r="L40" s="88" t="n"/>
      <c r="M40" s="88" t="n"/>
      <c r="N40" s="88" t="inlineStr">
        <is>
          <t>Yes</t>
        </is>
      </c>
      <c r="O40" s="88" t="n"/>
      <c r="P40" s="88" t="n"/>
      <c r="Q40" s="88" t="n"/>
      <c r="R40" s="88" t="n"/>
      <c r="S40" s="87" t="inlineStr">
        <is>
          <t>Vincent Lu</t>
        </is>
      </c>
      <c r="T40" s="89" t="n">
        <v>45001</v>
      </c>
      <c r="U40" s="87" t="n"/>
      <c r="V40" s="89" t="n"/>
      <c r="Y40" s="153" t="inlineStr">
        <is>
          <t>Global Inv - Mar 2026</t>
        </is>
      </c>
      <c r="Z40" s="153" t="inlineStr">
        <is>
          <t>Network access control and authentication software</t>
        </is>
      </c>
      <c r="AA40" s="153" t="inlineStr">
        <is>
          <t>Cyber Security</t>
        </is>
      </c>
      <c r="AB40" s="121">
        <f>VLOOKUP(AA40,CategorySummaryTable[],2,FALSE)</f>
        <v/>
      </c>
    </row>
    <row r="41" ht="64" customHeight="1" s="142">
      <c r="B41" s="56" t="inlineStr">
        <is>
          <t>Atmel AVR Studio (link goes to different version of app)</t>
        </is>
      </c>
      <c r="C41" s="75" t="inlineStr">
        <is>
          <t>R&amp;D Software</t>
        </is>
      </c>
      <c r="D41" s="75" t="inlineStr">
        <is>
          <t>Unknown</t>
        </is>
      </c>
      <c r="E41" s="75" t="inlineStr">
        <is>
          <t>Atmel and Microchip?</t>
        </is>
      </c>
      <c r="F41" s="75" t="n"/>
      <c r="G41" s="75" t="n"/>
      <c r="H41" s="75" t="inlineStr">
        <is>
          <t>Billerica</t>
        </is>
      </c>
      <c r="I41" s="75" t="n"/>
      <c r="J41" s="75" t="n"/>
      <c r="K41" s="75" t="inlineStr">
        <is>
          <t>Desktop</t>
        </is>
      </c>
      <c r="L41" s="75" t="n"/>
      <c r="M41" s="75" t="n"/>
      <c r="N41" s="75" t="n"/>
      <c r="O41" s="75" t="n"/>
      <c r="P41" s="75" t="n"/>
      <c r="Q41" s="75" t="inlineStr">
        <is>
          <t>No</t>
        </is>
      </c>
      <c r="R41" s="75" t="n"/>
      <c r="S41" s="75" t="n"/>
      <c r="T41" s="76" t="n"/>
      <c r="U41" s="75" t="n"/>
      <c r="V41" s="76" t="n"/>
      <c r="Y41" s="153" t="inlineStr">
        <is>
          <t>Global Inv - Mar 2026</t>
        </is>
      </c>
      <c r="Z41" s="153" t="inlineStr">
        <is>
          <t>Integrated development environment for microcontroller programming</t>
        </is>
      </c>
      <c r="AA41" s="153" t="inlineStr">
        <is>
          <t>Engineering</t>
        </is>
      </c>
      <c r="AB41" s="121">
        <f>VLOOKUP(AA41,CategorySummaryTable[],2,FALSE)</f>
        <v/>
      </c>
    </row>
    <row r="42" ht="64" customHeight="1" s="142">
      <c r="B42" s="56" t="inlineStr">
        <is>
          <t>AutoCAD</t>
        </is>
      </c>
      <c r="C42" s="75" t="inlineStr">
        <is>
          <t>Seen on many active machines in LS
6/16/21: in use? Check version</t>
        </is>
      </c>
      <c r="D42" s="75" t="inlineStr">
        <is>
          <t>Unknown</t>
        </is>
      </c>
      <c r="E42" s="75" t="inlineStr">
        <is>
          <t>AutoDesk</t>
        </is>
      </c>
      <c r="F42" s="75" t="n"/>
      <c r="G42" s="75" t="n"/>
      <c r="H42" s="75" t="inlineStr">
        <is>
          <t>Billerica, Plainsboro</t>
        </is>
      </c>
      <c r="I42" s="75" t="n"/>
      <c r="J42" s="75" t="n"/>
      <c r="K42" s="75" t="inlineStr">
        <is>
          <t>Desktop</t>
        </is>
      </c>
      <c r="L42" s="75" t="n"/>
      <c r="M42" s="75" t="n"/>
      <c r="N42" s="75" t="n"/>
      <c r="O42" s="75" t="n"/>
      <c r="P42" s="75" t="n"/>
      <c r="Q42" s="75" t="inlineStr">
        <is>
          <t>NA</t>
        </is>
      </c>
      <c r="R42" s="75" t="n"/>
      <c r="S42" s="75" t="n"/>
      <c r="T42" s="76" t="n"/>
      <c r="U42" s="75" t="n"/>
      <c r="V42" s="76" t="n"/>
      <c r="Y42" s="153" t="inlineStr">
        <is>
          <t>Global Inv - Mar 2026</t>
        </is>
      </c>
      <c r="Z42" s="153" t="inlineStr">
        <is>
          <t>Computer-aided design (CAD) software</t>
        </is>
      </c>
      <c r="AA42" s="153" t="inlineStr">
        <is>
          <t>Engineering</t>
        </is>
      </c>
      <c r="AB42" s="121">
        <f>VLOOKUP(AA42,CategorySummaryTable[],2,FALSE)</f>
        <v/>
      </c>
    </row>
    <row r="43" ht="64" customHeight="1" s="142">
      <c r="B43" s="77" t="inlineStr">
        <is>
          <t>AutoCAD</t>
        </is>
      </c>
      <c r="C43" s="75" t="inlineStr">
        <is>
          <t>Marked for deletetion</t>
        </is>
      </c>
      <c r="D43" s="75" t="inlineStr">
        <is>
          <t>Unknown</t>
        </is>
      </c>
      <c r="E43" s="75" t="inlineStr">
        <is>
          <t>AutoDesk</t>
        </is>
      </c>
      <c r="F43" s="75" t="n"/>
      <c r="G43" s="75" t="n"/>
      <c r="H43" s="75" t="inlineStr">
        <is>
          <t>Puerto Rico</t>
        </is>
      </c>
      <c r="I43" s="75" t="n"/>
      <c r="J43" s="75" t="n"/>
      <c r="K43" s="75" t="inlineStr">
        <is>
          <t>Desktop</t>
        </is>
      </c>
      <c r="L43" s="75" t="n"/>
      <c r="M43" s="75" t="n"/>
      <c r="N43" s="75" t="n"/>
      <c r="O43" s="75" t="n"/>
      <c r="P43" s="75" t="n"/>
      <c r="Q43" s="75" t="inlineStr">
        <is>
          <t>No</t>
        </is>
      </c>
      <c r="R43" s="75" t="n"/>
      <c r="S43" s="75" t="n"/>
      <c r="T43" s="76" t="n"/>
      <c r="U43" s="75" t="n"/>
      <c r="V43" s="76" t="n"/>
      <c r="Y43" s="153" t="inlineStr">
        <is>
          <t>Global Inv - Mar 2026</t>
        </is>
      </c>
      <c r="Z43" s="153" t="inlineStr">
        <is>
          <t>Computer-aided design (CAD) software</t>
        </is>
      </c>
      <c r="AA43" s="153" t="inlineStr">
        <is>
          <t>Engineering</t>
        </is>
      </c>
      <c r="AB43" s="121">
        <f>VLOOKUP(AA43,CategorySummaryTable[],2,FALSE)</f>
        <v/>
      </c>
    </row>
    <row r="44" ht="64" customHeight="1" s="142">
      <c r="B44" s="77" t="inlineStr">
        <is>
          <t>AutoCAD</t>
        </is>
      </c>
      <c r="C44" s="75" t="inlineStr">
        <is>
          <t>Marked for deletetion</t>
        </is>
      </c>
      <c r="D44" s="75" t="inlineStr">
        <is>
          <t>Unknown</t>
        </is>
      </c>
      <c r="E44" s="75" t="inlineStr">
        <is>
          <t>AutoDesk</t>
        </is>
      </c>
      <c r="F44" s="75" t="n"/>
      <c r="G44" s="75" t="n"/>
      <c r="H44" s="75" t="inlineStr">
        <is>
          <t>Puerto Rico</t>
        </is>
      </c>
      <c r="I44" s="75" t="n"/>
      <c r="J44" s="75" t="n"/>
      <c r="K44" s="75" t="inlineStr">
        <is>
          <t>Desktop / MAC</t>
        </is>
      </c>
      <c r="L44" s="75" t="n"/>
      <c r="M44" s="75" t="n"/>
      <c r="N44" s="75" t="n"/>
      <c r="O44" s="75" t="n"/>
      <c r="P44" s="75" t="n"/>
      <c r="Q44" s="75" t="inlineStr">
        <is>
          <t>No</t>
        </is>
      </c>
      <c r="R44" s="75" t="n"/>
      <c r="S44" s="75" t="n"/>
      <c r="T44" s="76" t="n"/>
      <c r="U44" s="75" t="n"/>
      <c r="V44" s="76" t="n"/>
      <c r="Y44" s="153" t="inlineStr">
        <is>
          <t>Global Inv - Mar 2026</t>
        </is>
      </c>
      <c r="Z44" s="153" t="inlineStr">
        <is>
          <t>Computer-aided design (CAD) software</t>
        </is>
      </c>
      <c r="AA44" s="153" t="inlineStr">
        <is>
          <t>Engineering</t>
        </is>
      </c>
      <c r="AB44" s="121">
        <f>VLOOKUP(AA44,CategorySummaryTable[],2,FALSE)</f>
        <v/>
      </c>
    </row>
    <row r="45" ht="64" customHeight="1" s="142">
      <c r="B45" s="80" t="inlineStr">
        <is>
          <t>AutoCad License Server for Co+A15dman Integration</t>
        </is>
      </c>
      <c r="C45" s="75" t="inlineStr">
        <is>
          <t>Able to tolerate longer downtime off hours.</t>
        </is>
      </c>
      <c r="D45" s="75" t="inlineStr">
        <is>
          <t>Unknown</t>
        </is>
      </c>
      <c r="E45" s="75" t="inlineStr">
        <is>
          <t>Autodesk</t>
        </is>
      </c>
      <c r="F45" s="75" t="n"/>
      <c r="G45" s="75" t="n"/>
      <c r="H45" s="75" t="inlineStr">
        <is>
          <t>Americas - Mansfield</t>
        </is>
      </c>
      <c r="I45" s="75" t="inlineStr">
        <is>
          <t>Yes</t>
        </is>
      </c>
      <c r="J45" s="75" t="n"/>
      <c r="K45" s="75" t="n"/>
      <c r="L45" s="75" t="n"/>
      <c r="M45" s="75" t="n"/>
      <c r="N45" s="75" t="n"/>
      <c r="O45" s="75" t="n"/>
      <c r="P45" s="75" t="n"/>
      <c r="Q45" s="75" t="inlineStr">
        <is>
          <t>No</t>
        </is>
      </c>
      <c r="R45" s="75" t="n"/>
      <c r="S45" s="75" t="n"/>
      <c r="T45" s="76" t="n"/>
      <c r="U45" s="75" t="inlineStr">
        <is>
          <t>server?</t>
        </is>
      </c>
      <c r="V45" s="76" t="n"/>
      <c r="Y45" s="153" t="inlineStr">
        <is>
          <t>Global Inv - Mar 2026</t>
        </is>
      </c>
      <c r="Z45" s="153" t="inlineStr">
        <is>
          <t>License server for CAD software</t>
        </is>
      </c>
      <c r="AA45" s="153" t="inlineStr">
        <is>
          <t>Engineering</t>
        </is>
      </c>
      <c r="AB45" s="121">
        <f>VLOOKUP(AA45,CategorySummaryTable[],2,FALSE)</f>
        <v/>
      </c>
    </row>
    <row r="46" ht="64" customHeight="1" s="142">
      <c r="B46" s="90" t="inlineStr">
        <is>
          <t>AutoCAD LT</t>
        </is>
      </c>
      <c r="C46" s="75" t="inlineStr">
        <is>
          <t>Prototype drafting for products. Includes engineering designs and drawings.</t>
        </is>
      </c>
      <c r="D46" s="75" t="inlineStr">
        <is>
          <t>Active</t>
        </is>
      </c>
      <c r="E46" s="75" t="inlineStr">
        <is>
          <t>AutoDesk</t>
        </is>
      </c>
      <c r="F46" s="75" t="n"/>
      <c r="G46" s="75" t="n"/>
      <c r="H46" s="75" t="inlineStr">
        <is>
          <t>Cincinnati</t>
        </is>
      </c>
      <c r="I46" s="75" t="inlineStr">
        <is>
          <t>Yes</t>
        </is>
      </c>
      <c r="J46" s="75" t="n"/>
      <c r="K46" s="75" t="inlineStr">
        <is>
          <t>Desktop</t>
        </is>
      </c>
      <c r="L46" s="75" t="n"/>
      <c r="M46" s="75" t="n"/>
      <c r="N46" s="75" t="n"/>
      <c r="O46" s="75" t="n"/>
      <c r="P46" s="75" t="n"/>
      <c r="Q46" s="75" t="inlineStr">
        <is>
          <t>No</t>
        </is>
      </c>
      <c r="R46" s="75" t="n"/>
      <c r="S46" s="75" t="inlineStr">
        <is>
          <t>Michael Patterson</t>
        </is>
      </c>
      <c r="T46" s="76" t="n">
        <v>44516</v>
      </c>
      <c r="U46" s="75" t="inlineStr">
        <is>
          <t>Verified via Michael Patterson</t>
        </is>
      </c>
      <c r="V46" s="76" t="n">
        <v>44516</v>
      </c>
      <c r="Y46" s="153" t="inlineStr">
        <is>
          <t>Global Inv - Mar 2026</t>
        </is>
      </c>
      <c r="Z46" s="153" t="inlineStr">
        <is>
          <t>2D computer-aided design (CAD) drafting software</t>
        </is>
      </c>
      <c r="AA46" s="153" t="inlineStr">
        <is>
          <t>Engineering</t>
        </is>
      </c>
      <c r="AB46" s="121">
        <f>VLOOKUP(AA46,CategorySummaryTable[],2,FALSE)</f>
        <v/>
      </c>
    </row>
    <row r="47" ht="80" customHeight="1" s="142">
      <c r="B47" s="77" t="inlineStr">
        <is>
          <t>Automated Inspection and Segregation System Multivac Biopatch</t>
        </is>
      </c>
      <c r="C47" s="75" t="inlineStr">
        <is>
          <t>Manufacturing application</t>
        </is>
      </c>
      <c r="D47" s="75" t="inlineStr">
        <is>
          <t>Unknown</t>
        </is>
      </c>
      <c r="E47" s="75" t="n"/>
      <c r="F47" s="75" t="n"/>
      <c r="G47" s="75" t="n"/>
      <c r="H47" s="75" t="inlineStr">
        <is>
          <t>Puerto Rico</t>
        </is>
      </c>
      <c r="I47" s="75" t="inlineStr">
        <is>
          <t>Unknown</t>
        </is>
      </c>
      <c r="J47" s="75" t="inlineStr">
        <is>
          <t>Unknown</t>
        </is>
      </c>
      <c r="K47" s="75" t="n"/>
      <c r="L47" s="75" t="n"/>
      <c r="M47" s="75" t="n"/>
      <c r="N47" s="75" t="n"/>
      <c r="O47" s="75" t="n"/>
      <c r="P47" s="75" t="n"/>
      <c r="Q47" s="75" t="inlineStr">
        <is>
          <t>Yes</t>
        </is>
      </c>
      <c r="R47" s="75" t="n"/>
      <c r="S47" s="75" t="n"/>
      <c r="T47" s="76" t="n"/>
      <c r="U47" s="75" t="n"/>
      <c r="V47" s="76" t="n"/>
      <c r="Y47" s="153" t="inlineStr">
        <is>
          <t>Global Inv - Mar 2026</t>
        </is>
      </c>
      <c r="Z47" s="153" t="inlineStr">
        <is>
          <t>NA</t>
        </is>
      </c>
      <c r="AA47" s="153" t="inlineStr">
        <is>
          <t>Manufacturing</t>
        </is>
      </c>
      <c r="AB47" s="121">
        <f>VLOOKUP(AA47,CategorySummaryTable[],2,FALSE)</f>
        <v/>
      </c>
    </row>
    <row r="48" ht="96" customHeight="1" s="142">
      <c r="B48" s="91" t="inlineStr">
        <is>
          <t>Avalanche</t>
        </is>
      </c>
      <c r="C48" s="75" t="inlineStr">
        <is>
          <t>Manage all handheld scanners globally at the manufacturing and warehouse sites.</t>
        </is>
      </c>
      <c r="D48" s="75" t="inlineStr">
        <is>
          <t>Active</t>
        </is>
      </c>
      <c r="E48" s="75" t="inlineStr">
        <is>
          <t>Wavelink</t>
        </is>
      </c>
      <c r="F48" s="75" t="n"/>
      <c r="G48" s="75" t="n"/>
      <c r="H48" s="75" t="inlineStr">
        <is>
          <t>Global (excluding Australia)</t>
        </is>
      </c>
      <c r="I48" s="75" t="inlineStr">
        <is>
          <t>Yes</t>
        </is>
      </c>
      <c r="J48" s="75" t="n"/>
      <c r="K48" s="75" t="inlineStr">
        <is>
          <t>On Premises (Client/Server)</t>
        </is>
      </c>
      <c r="L48" s="75" t="n"/>
      <c r="M48" s="75" t="n"/>
      <c r="N48" s="75" t="inlineStr">
        <is>
          <t>No</t>
        </is>
      </c>
      <c r="O48" s="75" t="n"/>
      <c r="P48" s="75" t="n"/>
      <c r="Q48" s="75" t="inlineStr">
        <is>
          <t>Yes</t>
        </is>
      </c>
      <c r="R48" s="75" t="n"/>
      <c r="S48" s="75" t="inlineStr">
        <is>
          <t>Kishor Patel</t>
        </is>
      </c>
      <c r="T48" s="76" t="n">
        <v>44522</v>
      </c>
      <c r="U48" s="75" t="inlineStr">
        <is>
          <t>Verified via Kishor Patel</t>
        </is>
      </c>
      <c r="V48" s="76" t="n">
        <v>44522</v>
      </c>
      <c r="Y48" s="153" t="inlineStr">
        <is>
          <t>Global Inv - Mar 2026</t>
        </is>
      </c>
      <c r="Z48" s="153" t="inlineStr">
        <is>
          <t>Mobile device and barcode scanner management software</t>
        </is>
      </c>
      <c r="AA48" s="153" t="inlineStr">
        <is>
          <t>Supply Chain and Distribution</t>
        </is>
      </c>
      <c r="AB48" s="121">
        <f>VLOOKUP(AA48,CategorySummaryTable[],2,FALSE)</f>
        <v/>
      </c>
    </row>
    <row r="49" ht="64" customHeight="1" s="142">
      <c r="B49" s="77" t="inlineStr">
        <is>
          <t>Avaya Call Manager</t>
        </is>
      </c>
      <c r="C49" s="75" t="n"/>
      <c r="D49" s="75" t="inlineStr">
        <is>
          <t>Unknown</t>
        </is>
      </c>
      <c r="E49" s="75" t="inlineStr">
        <is>
          <t>Avaya</t>
        </is>
      </c>
      <c r="F49" s="75" t="n"/>
      <c r="G49" s="75" t="n"/>
      <c r="H49" s="75" t="inlineStr">
        <is>
          <t>Puerto Rico</t>
        </is>
      </c>
      <c r="I49" s="75" t="inlineStr">
        <is>
          <t>Yes</t>
        </is>
      </c>
      <c r="J49" s="75" t="n"/>
      <c r="K49" s="75" t="inlineStr">
        <is>
          <t>On Premises (Client/Server)</t>
        </is>
      </c>
      <c r="L49" s="75" t="n"/>
      <c r="M49" s="75" t="n"/>
      <c r="N49" s="75" t="n"/>
      <c r="O49" s="75" t="n"/>
      <c r="P49" s="75" t="n"/>
      <c r="Q49" s="75" t="inlineStr">
        <is>
          <t>No</t>
        </is>
      </c>
      <c r="R49" s="75" t="n"/>
      <c r="S49" s="75" t="n"/>
      <c r="T49" s="76" t="n"/>
      <c r="U49" s="75" t="n"/>
      <c r="V49" s="76" t="n"/>
      <c r="Y49" s="153" t="inlineStr">
        <is>
          <t>Global Inv - Mar 2026</t>
        </is>
      </c>
      <c r="Z49" s="153" t="inlineStr">
        <is>
          <t>Enterprise telephony and call management software</t>
        </is>
      </c>
      <c r="AA49" s="153" t="inlineStr">
        <is>
          <t>IT Operations</t>
        </is>
      </c>
      <c r="AB49" s="121">
        <f>VLOOKUP(AA49,CategorySummaryTable[],2,FALSE)</f>
        <v/>
      </c>
    </row>
    <row r="50" ht="64" customHeight="1" s="142">
      <c r="B50" s="80" t="inlineStr">
        <is>
          <t>Avaya IP Agent</t>
        </is>
      </c>
      <c r="C50" s="75" t="inlineStr">
        <is>
          <t>IP Agent integrates a flexible IP softphone client with a SIP/SIMPLE-based Instant Messaging (IM) client.</t>
        </is>
      </c>
      <c r="D50" s="75" t="inlineStr">
        <is>
          <t>Unknown</t>
        </is>
      </c>
      <c r="E50" s="75" t="inlineStr">
        <is>
          <t>Avaya</t>
        </is>
      </c>
      <c r="F50" s="75" t="n"/>
      <c r="G50" s="75" t="n"/>
      <c r="H50" s="75" t="n"/>
      <c r="I50" s="75" t="n"/>
      <c r="J50" s="75" t="inlineStr">
        <is>
          <t>Other</t>
        </is>
      </c>
      <c r="K50" s="75" t="n"/>
      <c r="L50" s="75" t="n"/>
      <c r="M50" s="75" t="n"/>
      <c r="N50" s="75" t="n"/>
      <c r="O50" s="75" t="n"/>
      <c r="P50" s="75" t="n"/>
      <c r="Q50" s="75" t="n"/>
      <c r="R50" s="75" t="n"/>
      <c r="S50" s="75" t="n"/>
      <c r="T50" s="76" t="n"/>
      <c r="U50" s="75" t="inlineStr">
        <is>
          <t>Matt Rugierio</t>
        </is>
      </c>
      <c r="V50" s="76" t="n"/>
      <c r="Y50" s="153" t="inlineStr">
        <is>
          <t>Global Inv - Mar 2026</t>
        </is>
      </c>
      <c r="Z50" s="153" t="inlineStr">
        <is>
          <t>IP softphone client software</t>
        </is>
      </c>
      <c r="AA50" s="153" t="inlineStr">
        <is>
          <t>IT Operations</t>
        </is>
      </c>
      <c r="AB50" s="121">
        <f>VLOOKUP(AA50,CategorySummaryTable[],2,FALSE)</f>
        <v/>
      </c>
    </row>
    <row r="51" ht="80" customHeight="1" s="142">
      <c r="B51" s="80" t="inlineStr">
        <is>
          <t>AWForms</t>
        </is>
      </c>
      <c r="C51" s="75" t="n"/>
      <c r="D51" s="75" t="inlineStr">
        <is>
          <t>Unknown</t>
        </is>
      </c>
      <c r="E51" s="75" t="n"/>
      <c r="F51" s="75" t="n"/>
      <c r="G51" s="75" t="n"/>
      <c r="H51" s="75" t="n"/>
      <c r="I51" s="75" t="n"/>
      <c r="J51" s="75" t="inlineStr">
        <is>
          <t>Other</t>
        </is>
      </c>
      <c r="K51" s="75" t="n"/>
      <c r="L51" s="75" t="n"/>
      <c r="M51" s="75" t="n"/>
      <c r="N51" s="75" t="n"/>
      <c r="O51" s="75" t="n"/>
      <c r="P51" s="75" t="n"/>
      <c r="Q51" s="75" t="n"/>
      <c r="R51" s="75" t="n"/>
      <c r="S51" s="75" t="n"/>
      <c r="T51" s="76" t="n"/>
      <c r="U51" s="75" t="inlineStr">
        <is>
          <t>Desktop app- ask German Mesa?</t>
        </is>
      </c>
      <c r="V51" s="76" t="n"/>
      <c r="Y51" s="153" t="inlineStr">
        <is>
          <t>Global Inv - Mar 2026</t>
        </is>
      </c>
      <c r="Z51" s="153" t="inlineStr">
        <is>
          <t>NA</t>
        </is>
      </c>
      <c r="AA51" s="153" t="inlineStr">
        <is>
          <t>Enterprise Agility</t>
        </is>
      </c>
      <c r="AB51" s="121">
        <f>VLOOKUP(AA51,CategorySummaryTable[],2,FALSE)</f>
        <v/>
      </c>
    </row>
    <row r="52" ht="64" customHeight="1" s="142">
      <c r="B52" s="80" t="inlineStr">
        <is>
          <t>AWS</t>
        </is>
      </c>
      <c r="C52" s="75" t="n"/>
      <c r="D52" s="75" t="inlineStr">
        <is>
          <t>Unknown</t>
        </is>
      </c>
      <c r="E52" s="75" t="inlineStr">
        <is>
          <t>Amazon</t>
        </is>
      </c>
      <c r="F52" s="75" t="n"/>
      <c r="G52" s="75" t="inlineStr">
        <is>
          <t>Enterprise</t>
        </is>
      </c>
      <c r="H52" s="75" t="n"/>
      <c r="I52" s="75" t="n"/>
      <c r="J52" s="75" t="inlineStr">
        <is>
          <t>AWS</t>
        </is>
      </c>
      <c r="K52" s="75" t="n"/>
      <c r="L52" s="75" t="n"/>
      <c r="M52" s="75" t="n"/>
      <c r="N52" s="75" t="n"/>
      <c r="O52" s="75" t="n"/>
      <c r="P52" s="75" t="n"/>
      <c r="Q52" s="75" t="inlineStr">
        <is>
          <t>No</t>
        </is>
      </c>
      <c r="R52" s="75" t="n"/>
      <c r="S52" s="75" t="n"/>
      <c r="T52" s="76" t="n"/>
      <c r="U52" s="75" t="inlineStr">
        <is>
          <t>not an app</t>
        </is>
      </c>
      <c r="V52" s="76" t="n"/>
      <c r="Y52" s="153" t="inlineStr">
        <is>
          <t>Global Inv - Mar 2026</t>
        </is>
      </c>
      <c r="Z52" s="153" t="inlineStr">
        <is>
          <t>Cloud computing infrastructure and services platform</t>
        </is>
      </c>
      <c r="AA52" s="153" t="inlineStr">
        <is>
          <t>IT Operations</t>
        </is>
      </c>
      <c r="AB52" s="121">
        <f>VLOOKUP(AA52,CategorySummaryTable[],2,FALSE)</f>
        <v/>
      </c>
    </row>
    <row r="53" ht="64" customHeight="1" s="142">
      <c r="B53" s="80" t="inlineStr">
        <is>
          <t>B.A.S.I.S. (Best Access Systems Integrated Software Solutions)</t>
        </is>
      </c>
      <c r="C53" s="75" t="inlineStr">
        <is>
          <t>Collaboration software</t>
        </is>
      </c>
      <c r="D53" s="75" t="inlineStr">
        <is>
          <t>Unknown</t>
        </is>
      </c>
      <c r="E53" s="75" t="n"/>
      <c r="F53" s="75" t="n"/>
      <c r="G53" s="75" t="n"/>
      <c r="H53" s="75" t="n"/>
      <c r="I53" s="75" t="n"/>
      <c r="J53" s="75" t="inlineStr">
        <is>
          <t>Other</t>
        </is>
      </c>
      <c r="K53" s="75" t="n"/>
      <c r="L53" s="75" t="n"/>
      <c r="M53" s="75" t="n"/>
      <c r="N53" s="75" t="n"/>
      <c r="O53" s="75" t="n"/>
      <c r="P53" s="75" t="n"/>
      <c r="Q53" s="75" t="n"/>
      <c r="R53" s="75" t="n"/>
      <c r="S53" s="75" t="n"/>
      <c r="T53" s="76" t="n"/>
      <c r="U53" s="75" t="inlineStr">
        <is>
          <t>Lauren Luchento or Brooke Siefert? Tim Sharkey?</t>
        </is>
      </c>
      <c r="V53" s="76" t="n"/>
      <c r="Y53" s="153" t="inlineStr">
        <is>
          <t>Global Inv - Mar 2026</t>
        </is>
      </c>
      <c r="Z53" s="153" t="inlineStr">
        <is>
          <t>Electronic access control and lock management software</t>
        </is>
      </c>
      <c r="AA53" s="153" t="inlineStr">
        <is>
          <t>Cyber Security</t>
        </is>
      </c>
      <c r="AB53" s="121">
        <f>VLOOKUP(AA53,CategorySummaryTable[],2,FALSE)</f>
        <v/>
      </c>
    </row>
    <row r="54" ht="80" customHeight="1" s="142">
      <c r="B54" s="57" t="inlineStr">
        <is>
          <t>Bactiseal</t>
        </is>
      </c>
      <c r="C54" s="75" t="inlineStr">
        <is>
          <t>Present a business case, about Bactiseal product, to a customer according to their local metrics such as number of patients, etc… The outcome of this business case is presenting the benefits of having Bactiseal instead of any other product (savings, infections avoided,…)
Resource Library: https://integralife.sharepoint.com/sites/Azure/Bactiseal/Forms/AllItems.aspx</t>
        </is>
      </c>
      <c r="D54" s="75" t="inlineStr">
        <is>
          <t>Active</t>
        </is>
      </c>
      <c r="E54" s="75" t="inlineStr">
        <is>
          <t>Genesyze</t>
        </is>
      </c>
      <c r="F54" s="75" t="n"/>
      <c r="G54" s="75" t="n"/>
      <c r="H54" s="75" t="inlineStr">
        <is>
          <t>Europe (Sales)</t>
        </is>
      </c>
      <c r="I54" s="75" t="n"/>
      <c r="J54" s="75" t="inlineStr">
        <is>
          <t>Other</t>
        </is>
      </c>
      <c r="K54" s="75" t="inlineStr">
        <is>
          <t>iPad via Intune</t>
        </is>
      </c>
      <c r="L54" s="75" t="n"/>
      <c r="M54" s="75" t="inlineStr">
        <is>
          <t>No</t>
        </is>
      </c>
      <c r="N54" s="75" t="n"/>
      <c r="O54" s="75" t="n"/>
      <c r="P54" s="75" t="inlineStr">
        <is>
          <t>T3 or T4? Downtime can be extended to 7 days if necessary</t>
        </is>
      </c>
      <c r="Q54" s="75" t="inlineStr">
        <is>
          <t>No</t>
        </is>
      </c>
      <c r="R54" s="75" t="n"/>
      <c r="S54" s="75" t="inlineStr">
        <is>
          <t>Philippe Ribouleau; Vincent Lu</t>
        </is>
      </c>
      <c r="T54" s="76" t="n">
        <v>44651</v>
      </c>
      <c r="U54" s="75" t="inlineStr">
        <is>
          <t>Verified via Philippe Ribouleau; Vincent Lu</t>
        </is>
      </c>
      <c r="V54" s="76" t="n">
        <v>44651</v>
      </c>
      <c r="Y54" s="153" t="inlineStr">
        <is>
          <t>Global Inv - Mar 2026</t>
        </is>
      </c>
      <c r="Z54" s="153" t="inlineStr">
        <is>
          <t>NA</t>
        </is>
      </c>
      <c r="AA54" s="153" t="inlineStr">
        <is>
          <t>Sales</t>
        </is>
      </c>
      <c r="AB54" s="121">
        <f>VLOOKUP(AA54,CategorySummaryTable[],2,FALSE)</f>
        <v/>
      </c>
    </row>
    <row r="55" ht="80" customHeight="1" s="142">
      <c r="B55" s="77" t="inlineStr">
        <is>
          <t>Bank of America (BOA) - Oracle FTP file transfer service</t>
        </is>
      </c>
      <c r="C55" s="75" t="inlineStr">
        <is>
          <t>Processes customer payments and includes customer banking information. Need to confirm how many customers are EMEA.</t>
        </is>
      </c>
      <c r="D55" s="75" t="inlineStr">
        <is>
          <t>Survey Complete with Improvement Opps</t>
        </is>
      </c>
      <c r="E55" s="75" t="inlineStr">
        <is>
          <t>Integra_ISDevelopedScript</t>
        </is>
      </c>
      <c r="F55" s="75" t="n"/>
      <c r="G55" s="75" t="n"/>
      <c r="H55" s="75" t="inlineStr">
        <is>
          <t>Plainsboro Corp</t>
        </is>
      </c>
      <c r="I55" s="75" t="inlineStr">
        <is>
          <t>Yes</t>
        </is>
      </c>
      <c r="J55" s="75" t="n"/>
      <c r="K55" s="75" t="inlineStr">
        <is>
          <t>On Premises (Client/Server)</t>
        </is>
      </c>
      <c r="L55" s="75" t="n"/>
      <c r="M55" s="75" t="n"/>
      <c r="N55" s="75" t="n"/>
      <c r="O55" s="75" t="n"/>
      <c r="P55" s="75" t="n"/>
      <c r="Q55" s="75" t="inlineStr">
        <is>
          <t>No</t>
        </is>
      </c>
      <c r="R55" s="75" t="n"/>
      <c r="S55" s="75" t="n"/>
      <c r="T55" s="76" t="n"/>
      <c r="U55" s="75" t="n"/>
      <c r="V55" s="76" t="n"/>
      <c r="Y55" s="153" t="inlineStr">
        <is>
          <t>Global Inv - Mar 2026</t>
        </is>
      </c>
      <c r="Z55" s="153" t="inlineStr">
        <is>
          <t>NA</t>
        </is>
      </c>
      <c r="AA55" s="153" t="inlineStr">
        <is>
          <t>Finance</t>
        </is>
      </c>
      <c r="AB55" s="121">
        <f>VLOOKUP(AA55,CategorySummaryTable[],2,FALSE)</f>
        <v/>
      </c>
    </row>
    <row r="56" ht="80" customHeight="1" s="142">
      <c r="B56" s="80" t="inlineStr">
        <is>
          <t>BarCode Pro</t>
        </is>
      </c>
      <c r="C56" s="75" t="n"/>
      <c r="D56" s="75" t="inlineStr">
        <is>
          <t>Unknown</t>
        </is>
      </c>
      <c r="E56" s="75" t="n"/>
      <c r="F56" s="75" t="n"/>
      <c r="G56" s="75" t="n"/>
      <c r="H56" s="75" t="n"/>
      <c r="I56" s="75" t="n"/>
      <c r="J56" s="75" t="inlineStr">
        <is>
          <t>Other</t>
        </is>
      </c>
      <c r="K56" s="75" t="n"/>
      <c r="L56" s="75" t="n"/>
      <c r="M56" s="75" t="n"/>
      <c r="N56" s="75" t="n"/>
      <c r="O56" s="75" t="n"/>
      <c r="P56" s="75" t="n"/>
      <c r="Q56" s="75" t="n"/>
      <c r="R56" s="75" t="n"/>
      <c r="S56" s="75" t="n"/>
      <c r="T56" s="76" t="n"/>
      <c r="U56" s="75" t="inlineStr">
        <is>
          <t>Charles Ferrer</t>
        </is>
      </c>
      <c r="V56" s="76" t="n"/>
      <c r="Y56" s="153" t="inlineStr">
        <is>
          <t>Global Inv - Mar 2026</t>
        </is>
      </c>
      <c r="Z56" s="153" t="inlineStr">
        <is>
          <t>Barcode generation software</t>
        </is>
      </c>
      <c r="AA56" s="153" t="inlineStr">
        <is>
          <t>Manufacturing</t>
        </is>
      </c>
      <c r="AB56" s="121">
        <f>VLOOKUP(AA56,CategorySummaryTable[],2,FALSE)</f>
        <v/>
      </c>
    </row>
    <row r="57" ht="80" customHeight="1" s="142">
      <c r="B57" s="56" t="inlineStr">
        <is>
          <t>Barecode Magic</t>
        </is>
      </c>
      <c r="C57" s="75" t="inlineStr">
        <is>
          <t>Product Barcode</t>
        </is>
      </c>
      <c r="D57" s="75" t="inlineStr">
        <is>
          <t>Unknown</t>
        </is>
      </c>
      <c r="E57" s="75" t="inlineStr">
        <is>
          <t>BulletProof Software</t>
        </is>
      </c>
      <c r="F57" s="75" t="n"/>
      <c r="G57" s="75" t="n"/>
      <c r="H57" s="75" t="inlineStr">
        <is>
          <t>Lyon</t>
        </is>
      </c>
      <c r="I57" s="75" t="n"/>
      <c r="J57" s="75" t="n"/>
      <c r="K57" s="75" t="n"/>
      <c r="L57" s="75" t="n"/>
      <c r="M57" s="75" t="n"/>
      <c r="N57" s="75" t="n"/>
      <c r="O57" s="75" t="n"/>
      <c r="P57" s="75" t="n"/>
      <c r="Q57" s="75" t="n"/>
      <c r="R57" s="75" t="n"/>
      <c r="S57" s="75" t="n"/>
      <c r="T57" s="76" t="n"/>
      <c r="U57" s="75" t="inlineStr">
        <is>
          <t>Charles Ferrer</t>
        </is>
      </c>
      <c r="V57" s="76" t="n"/>
      <c r="Y57" s="153" t="inlineStr">
        <is>
          <t>Global Inv - Mar 2026</t>
        </is>
      </c>
      <c r="Z57" s="153" t="inlineStr">
        <is>
          <t>Barcode generation software</t>
        </is>
      </c>
      <c r="AA57" s="153" t="inlineStr">
        <is>
          <t>Manufacturing</t>
        </is>
      </c>
      <c r="AB57" s="121">
        <f>VLOOKUP(AA57,CategorySummaryTable[],2,FALSE)</f>
        <v/>
      </c>
    </row>
    <row r="58" ht="80" customHeight="1" s="142">
      <c r="B58" s="57" t="inlineStr">
        <is>
          <t>Bartender</t>
        </is>
      </c>
      <c r="C58" s="75" t="inlineStr">
        <is>
          <t>Product Labeling</t>
        </is>
      </c>
      <c r="D58" s="75" t="inlineStr">
        <is>
          <t>Active</t>
        </is>
      </c>
      <c r="E58" s="75" t="inlineStr">
        <is>
          <t>Seagull Scientific</t>
        </is>
      </c>
      <c r="F58" s="75" t="n"/>
      <c r="G58" s="75" t="n"/>
      <c r="H58" s="75" t="inlineStr">
        <is>
          <t>Cincinnati</t>
        </is>
      </c>
      <c r="I58" s="75" t="n"/>
      <c r="J58" s="75" t="n"/>
      <c r="K58" s="75" t="inlineStr">
        <is>
          <t>Desktop</t>
        </is>
      </c>
      <c r="L58" s="75" t="n"/>
      <c r="M58" s="75" t="n"/>
      <c r="N58" s="75" t="n"/>
      <c r="O58" s="75" t="n"/>
      <c r="P58" s="75" t="n"/>
      <c r="Q58" s="75" t="inlineStr">
        <is>
          <t>Yes</t>
        </is>
      </c>
      <c r="R58" s="75" t="n"/>
      <c r="S58" s="75" t="inlineStr">
        <is>
          <t>Kishor Patel</t>
        </is>
      </c>
      <c r="T58" s="76" t="n">
        <v>44522</v>
      </c>
      <c r="U58" s="75" t="inlineStr">
        <is>
          <t>Verified via Kishor Patel</t>
        </is>
      </c>
      <c r="V58" s="76" t="n">
        <v>44522</v>
      </c>
      <c r="Y58" s="153" t="inlineStr">
        <is>
          <t>Global Inv - Mar 2026</t>
        </is>
      </c>
      <c r="Z58" s="153" t="inlineStr">
        <is>
          <t>Label design and printing software</t>
        </is>
      </c>
      <c r="AA58" s="153" t="inlineStr">
        <is>
          <t>Manufacturing</t>
        </is>
      </c>
      <c r="AB58" s="121">
        <f>VLOOKUP(AA58,CategorySummaryTable[],2,FALSE)</f>
        <v/>
      </c>
    </row>
    <row r="59" ht="80" customHeight="1" s="142">
      <c r="B59" s="53" t="inlineStr">
        <is>
          <t>Bartender</t>
        </is>
      </c>
      <c r="C59" s="75" t="inlineStr">
        <is>
          <t>Product Labeling</t>
        </is>
      </c>
      <c r="D59" s="75" t="inlineStr">
        <is>
          <t>Active</t>
        </is>
      </c>
      <c r="E59" s="75" t="n"/>
      <c r="F59" s="75" t="n"/>
      <c r="G59" s="75" t="n"/>
      <c r="H59" s="75" t="inlineStr">
        <is>
          <t>Salt Lake City</t>
        </is>
      </c>
      <c r="I59" s="75" t="n"/>
      <c r="J59" s="75" t="n"/>
      <c r="K59" s="75" t="inlineStr">
        <is>
          <t>Desktop</t>
        </is>
      </c>
      <c r="L59" s="75" t="n"/>
      <c r="M59" s="75" t="n"/>
      <c r="N59" s="75" t="n"/>
      <c r="O59" s="75" t="n"/>
      <c r="P59" s="75" t="n"/>
      <c r="Q59" s="75" t="inlineStr">
        <is>
          <t>Yes</t>
        </is>
      </c>
      <c r="R59" s="75" t="n"/>
      <c r="S59" s="75" t="inlineStr">
        <is>
          <t>Kishor Patel</t>
        </is>
      </c>
      <c r="T59" s="76" t="n">
        <v>44607</v>
      </c>
      <c r="U59" s="75" t="inlineStr">
        <is>
          <t>Verified via Kishor Patel</t>
        </is>
      </c>
      <c r="V59" s="76" t="n">
        <v>44607</v>
      </c>
      <c r="Y59" s="153" t="inlineStr">
        <is>
          <t>Global Inv - Mar 2026</t>
        </is>
      </c>
      <c r="Z59" s="153" t="inlineStr">
        <is>
          <t>Label design and printing software</t>
        </is>
      </c>
      <c r="AA59" s="153" t="inlineStr">
        <is>
          <t>Manufacturing</t>
        </is>
      </c>
      <c r="AB59" s="121">
        <f>VLOOKUP(AA59,CategorySummaryTable[],2,FALSE)</f>
        <v/>
      </c>
    </row>
    <row r="60" ht="80" customHeight="1" s="142">
      <c r="B60" s="56" t="inlineStr">
        <is>
          <t>BartPE Builder</t>
        </is>
      </c>
      <c r="C60" s="75" t="inlineStr">
        <is>
          <t>Product Labeling</t>
        </is>
      </c>
      <c r="D60" s="75" t="inlineStr">
        <is>
          <t>Site says the app is EOL/no longer available</t>
        </is>
      </c>
      <c r="E60" s="75" t="inlineStr">
        <is>
          <t>Nu2 Productions</t>
        </is>
      </c>
      <c r="F60" s="75" t="n"/>
      <c r="G60" s="75" t="n"/>
      <c r="H60" s="75" t="inlineStr">
        <is>
          <t>Billerica</t>
        </is>
      </c>
      <c r="I60" s="75" t="n"/>
      <c r="J60" s="75" t="n"/>
      <c r="K60" s="75" t="inlineStr">
        <is>
          <t>Desktop</t>
        </is>
      </c>
      <c r="L60" s="75" t="n"/>
      <c r="M60" s="75" t="n"/>
      <c r="N60" s="75" t="n"/>
      <c r="O60" s="75" t="n"/>
      <c r="P60" s="75" t="n"/>
      <c r="Q60" s="75" t="inlineStr">
        <is>
          <t>N</t>
        </is>
      </c>
      <c r="R60" s="75" t="n"/>
      <c r="S60" s="75" t="n"/>
      <c r="T60" s="76" t="n"/>
      <c r="U60" s="75" t="n"/>
      <c r="V60" s="76" t="n"/>
      <c r="Y60" s="153" t="inlineStr">
        <is>
          <t>Global Inv - Mar 2026</t>
        </is>
      </c>
      <c r="Z60" s="153" t="inlineStr">
        <is>
          <t>Tool for building bootable Windows preinstallation environments</t>
        </is>
      </c>
      <c r="AA60" s="153" t="inlineStr">
        <is>
          <t>Manufacturing</t>
        </is>
      </c>
      <c r="AB60" s="121">
        <f>VLOOKUP(AA60,CategorySummaryTable[],2,FALSE)</f>
        <v/>
      </c>
    </row>
    <row r="61" ht="64" customHeight="1" s="142">
      <c r="B61" s="80" t="inlineStr">
        <is>
          <t>Blackberry Enterprise Server</t>
        </is>
      </c>
      <c r="C61" s="75" t="inlineStr">
        <is>
          <t>connects to messaging and collaboration software (Microsoft Exchange, Lotus Domino, Novell GroupWise) on enterprise networks and redirects emails, and synchronizes contacts and calendaring information between servers, desktop workstations, and mobile devices</t>
        </is>
      </c>
      <c r="D61" s="75" t="inlineStr">
        <is>
          <t>Unknown</t>
        </is>
      </c>
      <c r="E61" s="75" t="inlineStr">
        <is>
          <t>BlackBerry</t>
        </is>
      </c>
      <c r="F61" s="75" t="n"/>
      <c r="G61" s="75" t="n"/>
      <c r="H61" s="75" t="n"/>
      <c r="I61" s="75" t="n"/>
      <c r="J61" s="75" t="inlineStr">
        <is>
          <t>Other</t>
        </is>
      </c>
      <c r="K61" s="75" t="n"/>
      <c r="L61" s="75" t="n"/>
      <c r="M61" s="75" t="n"/>
      <c r="N61" s="75" t="n"/>
      <c r="O61" s="75" t="n"/>
      <c r="P61" s="75" t="n"/>
      <c r="Q61" s="75" t="n"/>
      <c r="R61" s="75" t="n"/>
      <c r="S61" s="75" t="n"/>
      <c r="T61" s="76" t="n"/>
      <c r="U61" s="75" t="inlineStr">
        <is>
          <t>server?</t>
        </is>
      </c>
      <c r="V61" s="76" t="n"/>
      <c r="Y61" s="153" t="inlineStr">
        <is>
          <t>Global Inv - Mar 2026</t>
        </is>
      </c>
      <c r="Z61" s="153" t="inlineStr">
        <is>
          <t>Mobile device management and email synchronization server</t>
        </is>
      </c>
      <c r="AA61" s="153" t="inlineStr">
        <is>
          <t>IT Operations</t>
        </is>
      </c>
      <c r="AB61" s="121">
        <f>VLOOKUP(AA61,CategorySummaryTable[],2,FALSE)</f>
        <v/>
      </c>
    </row>
    <row r="62" ht="80" customHeight="1" s="142">
      <c r="B62" s="77" t="inlineStr">
        <is>
          <t>BMI Systems</t>
        </is>
      </c>
      <c r="C62" s="75" t="inlineStr">
        <is>
          <t>French Sunshine Act System</t>
        </is>
      </c>
      <c r="D62" s="75" t="inlineStr">
        <is>
          <t>Duplicate</t>
        </is>
      </c>
      <c r="E62" s="75" t="n"/>
      <c r="F62" s="75" t="n"/>
      <c r="G62" s="75" t="n"/>
      <c r="H62" s="75" t="n"/>
      <c r="I62" s="75" t="n"/>
      <c r="J62" s="75" t="n"/>
      <c r="K62" s="75" t="n"/>
      <c r="L62" s="75" t="n"/>
      <c r="M62" s="75" t="n"/>
      <c r="N62" s="75" t="n"/>
      <c r="O62" s="75" t="n"/>
      <c r="P62" s="75" t="n"/>
      <c r="Q62" s="75" t="n"/>
      <c r="R62" s="75" t="n"/>
      <c r="S62" s="75" t="n"/>
      <c r="T62" s="76" t="n"/>
      <c r="U62" s="75" t="inlineStr">
        <is>
          <t>Maheva Vado</t>
        </is>
      </c>
      <c r="V62" s="76" t="n"/>
      <c r="W62" s="71" t="inlineStr">
        <is>
          <t>Application known as NAYACT</t>
        </is>
      </c>
      <c r="Y62" s="153" t="inlineStr">
        <is>
          <t>Global Inv - Mar 2026</t>
        </is>
      </c>
      <c r="Z62" s="153" t="inlineStr">
        <is>
          <t>Healthcare transparency and compliance disclosure reporting software</t>
        </is>
      </c>
      <c r="AA62" s="153" t="inlineStr">
        <is>
          <t>Compliance and Risk</t>
        </is>
      </c>
      <c r="AB62" s="121">
        <f>VLOOKUP(AA62,CategorySummaryTable[],2,FALSE)</f>
        <v/>
      </c>
    </row>
    <row r="63" ht="64" customHeight="1" s="142">
      <c r="B63" s="77" t="inlineStr">
        <is>
          <t>BMS/FMS System
Building management system
Factory monitoring system</t>
        </is>
      </c>
      <c r="C63" s="75" t="inlineStr">
        <is>
          <t>BMS - Used to managed HAVC system and utilities in building 109.
FMS - Monitoring and storing data for environmental temperature and pressure (GMP).</t>
        </is>
      </c>
      <c r="D63" s="75" t="inlineStr">
        <is>
          <t>Unknown</t>
        </is>
      </c>
      <c r="E63" s="75" t="n"/>
      <c r="F63" s="75" t="n"/>
      <c r="G63" s="75" t="n"/>
      <c r="H63" s="75" t="inlineStr">
        <is>
          <t>Corporate (Building 109 only)</t>
        </is>
      </c>
      <c r="I63" s="75" t="inlineStr">
        <is>
          <t>Yes</t>
        </is>
      </c>
      <c r="J63" s="75" t="n"/>
      <c r="K63" s="75" t="inlineStr">
        <is>
          <t>On Premises (Client/Server)</t>
        </is>
      </c>
      <c r="L63" s="75" t="n"/>
      <c r="M63" s="75" t="n"/>
      <c r="N63" s="75" t="n"/>
      <c r="O63" s="75" t="n"/>
      <c r="P63" s="75" t="n"/>
      <c r="Q63" s="75" t="inlineStr">
        <is>
          <t>Yes</t>
        </is>
      </c>
      <c r="R63" s="75" t="n"/>
      <c r="S63" s="75" t="n"/>
      <c r="T63" s="76" t="n"/>
      <c r="U63" s="75" t="inlineStr">
        <is>
          <t>changed IS Owner</t>
        </is>
      </c>
      <c r="V63" s="76" t="n"/>
      <c r="Y63" s="153" t="inlineStr">
        <is>
          <t>Global Inv - Mar 2026</t>
        </is>
      </c>
      <c r="Z63" s="153" t="inlineStr">
        <is>
          <t>NA</t>
        </is>
      </c>
      <c r="AA63" s="153" t="inlineStr">
        <is>
          <t>Engineering</t>
        </is>
      </c>
      <c r="AB63" s="121">
        <f>VLOOKUP(AA63,CategorySummaryTable[],2,FALSE)</f>
        <v/>
      </c>
    </row>
    <row r="64" ht="80" customHeight="1" s="142">
      <c r="B64" s="80" t="inlineStr">
        <is>
          <t>Board Vantage</t>
        </is>
      </c>
      <c r="C64" s="75" t="inlineStr">
        <is>
          <t>document management</t>
        </is>
      </c>
      <c r="D64" s="75" t="inlineStr">
        <is>
          <t>Unknown</t>
        </is>
      </c>
      <c r="E64" s="75" t="inlineStr">
        <is>
          <t>Nasdaq</t>
        </is>
      </c>
      <c r="F64" s="75" t="n"/>
      <c r="G64" s="75" t="n"/>
      <c r="H64" s="75" t="n"/>
      <c r="I64" s="75" t="n"/>
      <c r="J64" s="75" t="inlineStr">
        <is>
          <t>Other</t>
        </is>
      </c>
      <c r="K64" s="75" t="n"/>
      <c r="L64" s="75" t="n"/>
      <c r="M64" s="75" t="n"/>
      <c r="N64" s="75" t="n"/>
      <c r="O64" s="75" t="n"/>
      <c r="P64" s="75" t="n"/>
      <c r="Q64" s="75" t="n"/>
      <c r="R64" s="75" t="n"/>
      <c r="S64" s="75" t="n"/>
      <c r="T64" s="76" t="n"/>
      <c r="U64" s="75" t="inlineStr">
        <is>
          <t>is Director's Desk. Ask Alisa Williams</t>
        </is>
      </c>
      <c r="V64" s="76" t="n"/>
      <c r="Y64" s="153" t="inlineStr">
        <is>
          <t>Global Inv - Mar 2026</t>
        </is>
      </c>
      <c r="Z64" s="153" t="inlineStr">
        <is>
          <t>Board governance portal and document management software</t>
        </is>
      </c>
      <c r="AA64" s="153" t="inlineStr">
        <is>
          <t>Compliance and Risk</t>
        </is>
      </c>
      <c r="AB64" s="121">
        <f>VLOOKUP(AA64,CategorySummaryTable[],2,FALSE)</f>
        <v/>
      </c>
    </row>
    <row r="65" ht="64" customHeight="1" s="142">
      <c r="B65" s="92" t="inlineStr">
        <is>
          <t>Bonjour</t>
        </is>
      </c>
      <c r="C65" s="75" t="inlineStr">
        <is>
          <t>For Apple products; network tool</t>
        </is>
      </c>
      <c r="D65" s="75" t="inlineStr">
        <is>
          <t>Unknown</t>
        </is>
      </c>
      <c r="E65" s="75" t="inlineStr">
        <is>
          <t>Apple</t>
        </is>
      </c>
      <c r="F65" s="75" t="n"/>
      <c r="G65" s="75" t="n"/>
      <c r="H65" s="75" t="n"/>
      <c r="I65" s="75" t="n"/>
      <c r="J65" s="75" t="inlineStr">
        <is>
          <t>Other</t>
        </is>
      </c>
      <c r="K65" s="75" t="n"/>
      <c r="L65" s="75" t="n"/>
      <c r="M65" s="75" t="n"/>
      <c r="N65" s="75" t="n"/>
      <c r="O65" s="75" t="n"/>
      <c r="P65" s="75" t="n"/>
      <c r="Q65" s="75" t="n"/>
      <c r="R65" s="75" t="n"/>
      <c r="S65" s="75" t="n"/>
      <c r="T65" s="76" t="n"/>
      <c r="U65" s="75" t="inlineStr">
        <is>
          <t>Decomissioned? Confirm with German</t>
        </is>
      </c>
      <c r="V65" s="76" t="n"/>
      <c r="Y65" s="153" t="inlineStr">
        <is>
          <t>Global Inv - Mar 2026</t>
        </is>
      </c>
      <c r="Z65" s="153" t="inlineStr">
        <is>
          <t>Network service discovery (zero-configuration networking) software</t>
        </is>
      </c>
      <c r="AA65" s="153" t="inlineStr">
        <is>
          <t>IT Operations</t>
        </is>
      </c>
      <c r="AB65" s="121">
        <f>VLOOKUP(AA65,CategorySummaryTable[],2,FALSE)</f>
        <v/>
      </c>
    </row>
    <row r="66" ht="64" customHeight="1" s="142">
      <c r="B66" s="57" t="inlineStr">
        <is>
          <t>Bugzilla</t>
        </is>
      </c>
      <c r="C66" s="75" t="inlineStr">
        <is>
          <t>Anomaly and issue tracker used by local PD during development</t>
        </is>
      </c>
      <c r="D66" s="75" t="inlineStr">
        <is>
          <t>Active</t>
        </is>
      </c>
      <c r="E66" s="75" t="inlineStr">
        <is>
          <t>Mozilla Foundation</t>
        </is>
      </c>
      <c r="F66" s="75" t="n"/>
      <c r="G66" s="75" t="n"/>
      <c r="H66" s="75" t="inlineStr">
        <is>
          <t>Billerica</t>
        </is>
      </c>
      <c r="I66" s="75" t="inlineStr">
        <is>
          <t>Yes</t>
        </is>
      </c>
      <c r="J66" s="75" t="n"/>
      <c r="K66" s="75" t="inlineStr">
        <is>
          <t>On Premises (Client/Server)</t>
        </is>
      </c>
      <c r="L66" s="75" t="n"/>
      <c r="M66" s="75" t="n"/>
      <c r="N66" s="75" t="n"/>
      <c r="O66" s="75" t="n"/>
      <c r="P66" s="75" t="n"/>
      <c r="Q66" s="75" t="inlineStr">
        <is>
          <t>N</t>
        </is>
      </c>
      <c r="R66" s="75" t="n"/>
      <c r="S66" s="75" t="inlineStr">
        <is>
          <t>Gary Beckmann</t>
        </is>
      </c>
      <c r="T66" s="76" t="n">
        <v>44581</v>
      </c>
      <c r="U66" s="75" t="inlineStr">
        <is>
          <t>Verified via Gary Beckmann</t>
        </is>
      </c>
      <c r="V66" s="76" t="n">
        <v>44581</v>
      </c>
      <c r="Y66" s="153" t="inlineStr">
        <is>
          <t>Global Inv - Mar 2026</t>
        </is>
      </c>
      <c r="Z66" s="153" t="inlineStr">
        <is>
          <t>Bug and issue tracking software</t>
        </is>
      </c>
      <c r="AA66" s="153" t="inlineStr">
        <is>
          <t>IT Operations</t>
        </is>
      </c>
      <c r="AB66" s="121">
        <f>VLOOKUP(AA66,CategorySummaryTable[],2,FALSE)</f>
        <v/>
      </c>
    </row>
    <row r="67" ht="64" customHeight="1" s="142">
      <c r="B67" s="80" t="inlineStr">
        <is>
          <t>Canon Uniflow</t>
        </is>
      </c>
      <c r="C67" s="75" t="inlineStr">
        <is>
          <t>Canon products (printers, scanners) output management</t>
        </is>
      </c>
      <c r="D67" s="75" t="inlineStr">
        <is>
          <t>Unknown</t>
        </is>
      </c>
      <c r="E67" s="75" t="inlineStr">
        <is>
          <t>Canon</t>
        </is>
      </c>
      <c r="F67" s="75" t="n"/>
      <c r="G67" s="75" t="n"/>
      <c r="H67" s="75" t="n"/>
      <c r="I67" s="75" t="n"/>
      <c r="J67" s="75" t="inlineStr">
        <is>
          <t>Other</t>
        </is>
      </c>
      <c r="K67" s="75" t="n"/>
      <c r="L67" s="75" t="n"/>
      <c r="M67" s="75" t="n"/>
      <c r="N67" s="75" t="n"/>
      <c r="O67" s="75" t="n"/>
      <c r="P67" s="75" t="n"/>
      <c r="Q67" s="75" t="n"/>
      <c r="R67" s="75" t="n"/>
      <c r="S67" s="75" t="n"/>
      <c r="T67" s="76" t="n"/>
      <c r="U67" s="75" t="n"/>
      <c r="V67" s="76" t="n"/>
      <c r="Y67" s="153" t="inlineStr">
        <is>
          <t>Global Inv - Mar 2026</t>
        </is>
      </c>
      <c r="Z67" s="153" t="inlineStr">
        <is>
          <t>Print and output management software</t>
        </is>
      </c>
      <c r="AA67" s="153" t="inlineStr">
        <is>
          <t>IT Operations</t>
        </is>
      </c>
      <c r="AB67" s="121">
        <f>VLOOKUP(AA67,CategorySummaryTable[],2,FALSE)</f>
        <v/>
      </c>
    </row>
    <row r="68" ht="64" customHeight="1" s="142">
      <c r="B68" s="80" t="inlineStr">
        <is>
          <t>CAPE</t>
        </is>
      </c>
      <c r="C68" s="75" t="inlineStr">
        <is>
          <t>Operator Training and Logic Validation</t>
        </is>
      </c>
      <c r="D68" s="75" t="inlineStr">
        <is>
          <t>Unknown</t>
        </is>
      </c>
      <c r="E68" s="75" t="inlineStr">
        <is>
          <t>Cape Software + Wood Group USA, Inc</t>
        </is>
      </c>
      <c r="F68" s="75" t="n"/>
      <c r="G68" s="75" t="n"/>
      <c r="H68" s="75" t="n"/>
      <c r="I68" s="75" t="n"/>
      <c r="J68" s="75" t="inlineStr">
        <is>
          <t>Other</t>
        </is>
      </c>
      <c r="K68" s="75" t="n"/>
      <c r="L68" s="75" t="n"/>
      <c r="M68" s="75" t="n"/>
      <c r="N68" s="75" t="n"/>
      <c r="O68" s="75" t="n"/>
      <c r="P68" s="75" t="n"/>
      <c r="Q68" s="75" t="n"/>
      <c r="R68" s="75" t="n"/>
      <c r="S68" s="75" t="n"/>
      <c r="T68" s="76" t="n"/>
      <c r="U68" s="75" t="inlineStr">
        <is>
          <t>Ask Kent Lowry</t>
        </is>
      </c>
      <c r="V68" s="76" t="n"/>
      <c r="Y68" s="153" t="inlineStr">
        <is>
          <t>Global Inv - Mar 2026</t>
        </is>
      </c>
      <c r="Z68" s="153" t="inlineStr">
        <is>
          <t>Operator training simulation and control logic validation software</t>
        </is>
      </c>
      <c r="AA68" s="153" t="inlineStr">
        <is>
          <t>Engineering</t>
        </is>
      </c>
      <c r="AB68" s="121">
        <f>VLOOKUP(AA68,CategorySummaryTable[],2,FALSE)</f>
        <v/>
      </c>
    </row>
    <row r="69" ht="64" customHeight="1" s="142">
      <c r="B69" s="90" t="inlineStr">
        <is>
          <t>Carbon Black</t>
        </is>
      </c>
      <c r="C69" s="75" t="inlineStr">
        <is>
          <t>Carbon Black Enterprise EDR is an advanced threat hunting and incident response solution delivering continuous visibility for top security operations centers (SOCs) and incident response (IR) teams.</t>
        </is>
      </c>
      <c r="D69" s="75" t="inlineStr">
        <is>
          <t>Active</t>
        </is>
      </c>
      <c r="E69" s="75" t="inlineStr">
        <is>
          <t>VMWare</t>
        </is>
      </c>
      <c r="F69" s="75" t="n"/>
      <c r="G69" s="75" t="inlineStr">
        <is>
          <t>Enterprise</t>
        </is>
      </c>
      <c r="H69" s="75" t="n"/>
      <c r="I69" s="75" t="n"/>
      <c r="J69" s="75" t="n"/>
      <c r="K69" s="75" t="inlineStr">
        <is>
          <t>Web</t>
        </is>
      </c>
      <c r="L69" s="75" t="n"/>
      <c r="M69" s="75" t="n"/>
      <c r="N69" s="75" t="n"/>
      <c r="O69" s="75" t="n"/>
      <c r="P69" s="75" t="n"/>
      <c r="Q69" s="75" t="n"/>
      <c r="R69" s="75" t="n"/>
      <c r="S69" s="75" t="inlineStr">
        <is>
          <t>Matthew Cerny</t>
        </is>
      </c>
      <c r="T69" s="76" t="n">
        <v>44518</v>
      </c>
      <c r="U69" s="75" t="inlineStr">
        <is>
          <t>Verified via Matthew Cerny</t>
        </is>
      </c>
      <c r="V69" s="76" t="n">
        <v>44518</v>
      </c>
      <c r="Y69" s="153" t="inlineStr">
        <is>
          <t>Global Inv - Mar 2026</t>
        </is>
      </c>
      <c r="Z69" s="153" t="inlineStr">
        <is>
          <t>Endpoint detection and response (EDR) security software</t>
        </is>
      </c>
      <c r="AA69" s="153" t="inlineStr">
        <is>
          <t>IT Operations</t>
        </is>
      </c>
      <c r="AB69" s="121">
        <f>VLOOKUP(AA69,CategorySummaryTable[],2,FALSE)</f>
        <v/>
      </c>
    </row>
    <row r="70" ht="64" customHeight="1" s="142">
      <c r="B70" s="77" t="inlineStr">
        <is>
          <t>Carbon Copy Cloner</t>
        </is>
      </c>
      <c r="C70" s="75" t="n"/>
      <c r="D70" s="75" t="inlineStr">
        <is>
          <t>Unknown</t>
        </is>
      </c>
      <c r="E70" s="75" t="n"/>
      <c r="F70" s="75" t="n"/>
      <c r="G70" s="75" t="n"/>
      <c r="H70" s="75" t="inlineStr">
        <is>
          <t>Lyon</t>
        </is>
      </c>
      <c r="I70" s="75" t="n"/>
      <c r="J70" s="75" t="n"/>
      <c r="K70" s="75" t="inlineStr">
        <is>
          <t>Local</t>
        </is>
      </c>
      <c r="L70" s="75" t="n"/>
      <c r="M70" s="75" t="n"/>
      <c r="N70" s="75" t="n"/>
      <c r="O70" s="75" t="n"/>
      <c r="P70" s="75" t="n"/>
      <c r="Q70" s="75" t="inlineStr">
        <is>
          <t>N</t>
        </is>
      </c>
      <c r="R70" s="75" t="n"/>
      <c r="S70" s="75" t="n"/>
      <c r="T70" s="76" t="n"/>
      <c r="U70" s="75" t="n"/>
      <c r="V70" s="76" t="n"/>
      <c r="Y70" s="153" t="inlineStr">
        <is>
          <t>Global Inv - Mar 2026</t>
        </is>
      </c>
      <c r="Z70" s="153" t="inlineStr">
        <is>
          <t>Disk cloning and backup software for macOS</t>
        </is>
      </c>
      <c r="AA70" s="153" t="inlineStr">
        <is>
          <t>IT Operations</t>
        </is>
      </c>
      <c r="AB70" s="121">
        <f>VLOOKUP(AA70,CategorySummaryTable[],2,FALSE)</f>
        <v/>
      </c>
    </row>
    <row r="71" ht="80" customHeight="1" s="142">
      <c r="B71" s="77" t="inlineStr">
        <is>
          <t>CaryWIn UV</t>
        </is>
      </c>
      <c r="C71" s="75" t="n"/>
      <c r="D71" s="75" t="inlineStr">
        <is>
          <t>Unknown</t>
        </is>
      </c>
      <c r="E71" s="75" t="n"/>
      <c r="F71" s="75" t="n"/>
      <c r="G71" s="75" t="n"/>
      <c r="H71" s="75" t="inlineStr">
        <is>
          <t>Puerto Rico</t>
        </is>
      </c>
      <c r="I71" s="75" t="n"/>
      <c r="J71" s="75" t="n"/>
      <c r="K71" s="75" t="inlineStr">
        <is>
          <t>Desktop</t>
        </is>
      </c>
      <c r="L71" s="75" t="n"/>
      <c r="M71" s="75" t="n"/>
      <c r="N71" s="75" t="n"/>
      <c r="O71" s="75" t="n"/>
      <c r="P71" s="75" t="n"/>
      <c r="Q71" s="75" t="inlineStr">
        <is>
          <t>Y</t>
        </is>
      </c>
      <c r="R71" s="75" t="n"/>
      <c r="S71" s="75" t="n"/>
      <c r="T71" s="76" t="n"/>
      <c r="U71" s="75" t="n"/>
      <c r="V71" s="76" t="n"/>
      <c r="Y71" s="153" t="inlineStr">
        <is>
          <t>Global Inv - Mar 2026</t>
        </is>
      </c>
      <c r="Z71" s="153" t="inlineStr">
        <is>
          <t>UV-Vis spectroscopy instrument control and analysis software</t>
        </is>
      </c>
      <c r="AA71" s="153" t="inlineStr">
        <is>
          <t>Clinical Manufacturing Process</t>
        </is>
      </c>
      <c r="AB71" s="121">
        <f>VLOOKUP(AA71,CategorySummaryTable[],2,FALSE)</f>
        <v/>
      </c>
    </row>
    <row r="72" ht="80" customHeight="1" s="142">
      <c r="B72" s="80" t="inlineStr">
        <is>
          <t>Cash-Pro Online</t>
        </is>
      </c>
      <c r="C72" s="75" t="inlineStr">
        <is>
          <t>digital platform for payments, receipts, liquidity, investments, FX and trade</t>
        </is>
      </c>
      <c r="D72" s="75" t="inlineStr">
        <is>
          <t>Unknown</t>
        </is>
      </c>
      <c r="E72" s="75" t="inlineStr">
        <is>
          <t>Bank of America</t>
        </is>
      </c>
      <c r="F72" s="75" t="n"/>
      <c r="G72" s="75" t="n"/>
      <c r="H72" s="75" t="n"/>
      <c r="I72" s="75" t="n"/>
      <c r="J72" s="75" t="n"/>
      <c r="K72" s="75" t="n"/>
      <c r="L72" s="75" t="n"/>
      <c r="M72" s="75" t="n"/>
      <c r="N72" s="75" t="n"/>
      <c r="O72" s="75" t="n"/>
      <c r="P72" s="75" t="n"/>
      <c r="Q72" s="75" t="n"/>
      <c r="R72" s="75" t="n"/>
      <c r="S72" s="75" t="n"/>
      <c r="T72" s="76" t="n"/>
      <c r="U72" s="75" t="inlineStr">
        <is>
          <t>Paula Martucci</t>
        </is>
      </c>
      <c r="V72" s="76" t="n"/>
      <c r="Y72" s="153" t="inlineStr">
        <is>
          <t>Global Inv - Mar 2026</t>
        </is>
      </c>
      <c r="Z72" s="153" t="inlineStr">
        <is>
          <t>Corporate banking platform for payments, cash, liquidity and treasury management</t>
        </is>
      </c>
      <c r="AA72" s="153" t="inlineStr">
        <is>
          <t>Finance</t>
        </is>
      </c>
      <c r="AB72" s="121">
        <f>VLOOKUP(AA72,CategorySummaryTable[],2,FALSE)</f>
        <v/>
      </c>
    </row>
    <row r="73" ht="64" customHeight="1" s="142">
      <c r="B73" s="80" t="inlineStr">
        <is>
          <t>Certificate Authority</t>
        </is>
      </c>
      <c r="C73" s="75" t="inlineStr">
        <is>
          <t>On prem Windows Certificate server to generate Authentication Certificates and/or Cert functions</t>
        </is>
      </c>
      <c r="D73" s="75" t="inlineStr">
        <is>
          <t>Unknown</t>
        </is>
      </c>
      <c r="E73" s="75" t="inlineStr">
        <is>
          <t>Microsoft</t>
        </is>
      </c>
      <c r="F73" s="75" t="n"/>
      <c r="G73" s="75" t="inlineStr">
        <is>
          <t>Enterprise</t>
        </is>
      </c>
      <c r="H73" s="75" t="n"/>
      <c r="I73" s="75" t="inlineStr">
        <is>
          <t>Yes</t>
        </is>
      </c>
      <c r="J73" s="75" t="n"/>
      <c r="K73" s="75" t="n"/>
      <c r="L73" s="75" t="n"/>
      <c r="M73" s="75" t="n"/>
      <c r="N73" s="75" t="n"/>
      <c r="O73" s="75" t="n"/>
      <c r="P73" s="75" t="n"/>
      <c r="Q73" s="75" t="inlineStr">
        <is>
          <t>No</t>
        </is>
      </c>
      <c r="R73" s="75" t="n"/>
      <c r="S73" s="75" t="n"/>
      <c r="T73" s="76" t="n"/>
      <c r="U73" s="75" t="inlineStr">
        <is>
          <t>server?</t>
        </is>
      </c>
      <c r="V73" s="76" t="n"/>
      <c r="Y73" s="153" t="inlineStr">
        <is>
          <t>Global Inv - Mar 2026</t>
        </is>
      </c>
      <c r="Z73" s="153" t="inlineStr">
        <is>
          <t>Certificate authority service for issuing/managing digital authentication certificates</t>
        </is>
      </c>
      <c r="AA73" s="153" t="inlineStr">
        <is>
          <t>IT Operations</t>
        </is>
      </c>
      <c r="AB73" s="121">
        <f>VLOOKUP(AA73,CategorySummaryTable[],2,FALSE)</f>
        <v/>
      </c>
    </row>
    <row r="74" ht="64" customHeight="1" s="142">
      <c r="B74" s="80" t="inlineStr">
        <is>
          <t>CheckPoint</t>
        </is>
      </c>
      <c r="C74" s="75" t="inlineStr">
        <is>
          <t>hardware and software products for IT security, including network security, endpoint security, cloud security, mobile security, data security and security management</t>
        </is>
      </c>
      <c r="D74" s="75" t="inlineStr">
        <is>
          <t>Unknown</t>
        </is>
      </c>
      <c r="E74" s="75" t="inlineStr">
        <is>
          <t>CheckPoint</t>
        </is>
      </c>
      <c r="F74" s="75" t="n"/>
      <c r="G74" s="75" t="n"/>
      <c r="H74" s="75" t="n"/>
      <c r="I74" s="75" t="n"/>
      <c r="J74" s="75" t="inlineStr">
        <is>
          <t>Other</t>
        </is>
      </c>
      <c r="K74" s="75" t="n"/>
      <c r="L74" s="75" t="n"/>
      <c r="M74" s="75" t="n"/>
      <c r="N74" s="75" t="n"/>
      <c r="O74" s="75" t="n"/>
      <c r="P74" s="75" t="n"/>
      <c r="Q74" s="75" t="n"/>
      <c r="R74" s="75" t="n"/>
      <c r="S74" s="75" t="n"/>
      <c r="T74" s="76" t="n"/>
      <c r="U74" s="75" t="inlineStr">
        <is>
          <t>Duplicate?</t>
        </is>
      </c>
      <c r="V74" s="76" t="n"/>
      <c r="Y74" s="153" t="inlineStr">
        <is>
          <t>Global Inv - Mar 2026</t>
        </is>
      </c>
      <c r="Z74" s="153" t="inlineStr">
        <is>
          <t>IT and network security hardware/software (firewalls, endpoint, cloud security)</t>
        </is>
      </c>
      <c r="AA74" s="153" t="inlineStr">
        <is>
          <t>Cyber Security</t>
        </is>
      </c>
      <c r="AB74" s="121">
        <f>VLOOKUP(AA74,CategorySummaryTable[],2,FALSE)</f>
        <v/>
      </c>
    </row>
    <row r="75" ht="80" customHeight="1" s="142">
      <c r="B75" s="77" t="inlineStr">
        <is>
          <t>CheckPoint</t>
        </is>
      </c>
      <c r="C75" s="75" t="n"/>
      <c r="D75" s="75" t="inlineStr">
        <is>
          <t>Unknown</t>
        </is>
      </c>
      <c r="E75" s="75" t="inlineStr">
        <is>
          <t>Temp Sys inc.</t>
        </is>
      </c>
      <c r="F75" s="75" t="n"/>
      <c r="G75" s="75" t="n"/>
      <c r="H75" s="75" t="inlineStr">
        <is>
          <t>Boston, Cincinnati</t>
        </is>
      </c>
      <c r="I75" s="75" t="n"/>
      <c r="J75" s="75" t="n"/>
      <c r="K75" s="75" t="n"/>
      <c r="L75" s="75" t="n"/>
      <c r="M75" s="75" t="n"/>
      <c r="N75" s="75" t="n"/>
      <c r="O75" s="75" t="n"/>
      <c r="P75" s="75" t="n"/>
      <c r="Q75" s="75" t="n"/>
      <c r="R75" s="75" t="n"/>
      <c r="S75" s="75" t="n"/>
      <c r="T75" s="76" t="n"/>
      <c r="U75" s="75" t="inlineStr">
        <is>
          <t>Duplicate?</t>
        </is>
      </c>
      <c r="V75" s="76" t="n"/>
      <c r="Y75" s="153" t="inlineStr">
        <is>
          <t>Global Inv - Mar 2026</t>
        </is>
      </c>
      <c r="Z75" s="153" t="inlineStr">
        <is>
          <t>Wireless temperature/environmental monitoring system for labs and pharma</t>
        </is>
      </c>
      <c r="AA75" s="153" t="inlineStr">
        <is>
          <t>Clinical Manufacturing Process</t>
        </is>
      </c>
      <c r="AB75" s="121">
        <f>VLOOKUP(AA75,CategorySummaryTable[],2,FALSE)</f>
        <v/>
      </c>
    </row>
    <row r="76" ht="64" customHeight="1" s="142">
      <c r="B76" s="80" t="inlineStr">
        <is>
          <t>Cherwell Asset Management (CAM)</t>
        </is>
      </c>
      <c r="C76" s="75" t="inlineStr">
        <is>
          <t>Software asset management tool</t>
        </is>
      </c>
      <c r="D76" s="75" t="inlineStr">
        <is>
          <t>Unknown</t>
        </is>
      </c>
      <c r="E76" s="75" t="inlineStr">
        <is>
          <t>Cherwell</t>
        </is>
      </c>
      <c r="F76" s="75" t="n"/>
      <c r="G76" s="75" t="inlineStr">
        <is>
          <t>Enterprise</t>
        </is>
      </c>
      <c r="H76" s="75" t="n"/>
      <c r="I76" s="75" t="inlineStr">
        <is>
          <t>Yes</t>
        </is>
      </c>
      <c r="J76" s="75" t="n"/>
      <c r="K76" s="75" t="inlineStr">
        <is>
          <t>On Premises (Client/Server)</t>
        </is>
      </c>
      <c r="L76" s="75" t="n"/>
      <c r="M76" s="75" t="n"/>
      <c r="N76" s="75" t="n"/>
      <c r="O76" s="75" t="n"/>
      <c r="P76" s="75" t="n"/>
      <c r="Q76" s="75" t="inlineStr">
        <is>
          <t>No</t>
        </is>
      </c>
      <c r="R76" s="75" t="n"/>
      <c r="S76" s="75" t="n"/>
      <c r="T76" s="76" t="n"/>
      <c r="U76" s="75" t="inlineStr">
        <is>
          <t>JohnTreder</t>
        </is>
      </c>
      <c r="V76" s="76" t="n"/>
      <c r="Y76" s="153" t="inlineStr">
        <is>
          <t>Global Inv - Mar 2026</t>
        </is>
      </c>
      <c r="Z76" s="153" t="inlineStr">
        <is>
          <t>IT hardware and software asset management tool</t>
        </is>
      </c>
      <c r="AA76" s="153" t="inlineStr">
        <is>
          <t>IT Operations</t>
        </is>
      </c>
      <c r="AB76" s="121">
        <f>VLOOKUP(AA76,CategorySummaryTable[],2,FALSE)</f>
        <v/>
      </c>
    </row>
    <row r="77" ht="80" customHeight="1" s="142">
      <c r="B77" s="77" t="inlineStr">
        <is>
          <t>Chiller LYO</t>
        </is>
      </c>
      <c r="C77" s="75" t="n"/>
      <c r="D77" s="75" t="inlineStr">
        <is>
          <t>Unknown</t>
        </is>
      </c>
      <c r="E77" s="75" t="n"/>
      <c r="F77" s="75" t="n"/>
      <c r="G77" s="75" t="n"/>
      <c r="H77" s="75" t="inlineStr">
        <is>
          <t>Puerto Rico</t>
        </is>
      </c>
      <c r="I77" s="75" t="n"/>
      <c r="J77" s="75" t="n"/>
      <c r="K77" s="75" t="n"/>
      <c r="L77" s="75" t="n"/>
      <c r="M77" s="75" t="n"/>
      <c r="N77" s="75" t="n"/>
      <c r="O77" s="75" t="n"/>
      <c r="P77" s="75" t="n"/>
      <c r="Q77" s="75" t="inlineStr">
        <is>
          <t>Y</t>
        </is>
      </c>
      <c r="R77" s="75" t="n"/>
      <c r="S77" s="75" t="n"/>
      <c r="T77" s="76" t="n"/>
      <c r="U77" s="75" t="n"/>
      <c r="V77" s="76" t="n"/>
      <c r="Y77" s="153" t="inlineStr">
        <is>
          <t>Global Inv - Mar 2026</t>
        </is>
      </c>
      <c r="Z77" s="153" t="inlineStr">
        <is>
          <t>NA</t>
        </is>
      </c>
      <c r="AA77" s="153" t="inlineStr">
        <is>
          <t>Manufacturing</t>
        </is>
      </c>
      <c r="AB77" s="121">
        <f>VLOOKUP(AA77,CategorySummaryTable[],2,FALSE)</f>
        <v/>
      </c>
    </row>
    <row r="78" ht="64" customHeight="1" s="142">
      <c r="B78" s="90" t="inlineStr">
        <is>
          <t>Chrome</t>
        </is>
      </c>
      <c r="C78" s="75" t="inlineStr">
        <is>
          <t>Web browser used by employees</t>
        </is>
      </c>
      <c r="D78" s="75" t="inlineStr">
        <is>
          <t>Active</t>
        </is>
      </c>
      <c r="E78" s="75" t="inlineStr">
        <is>
          <t>Google</t>
        </is>
      </c>
      <c r="F78" s="75" t="n"/>
      <c r="G78" s="75" t="inlineStr">
        <is>
          <t>Enterprise</t>
        </is>
      </c>
      <c r="H78" s="75" t="n"/>
      <c r="I78" s="75" t="n"/>
      <c r="J78" s="75" t="inlineStr">
        <is>
          <t>Other</t>
        </is>
      </c>
      <c r="K78" s="75" t="inlineStr">
        <is>
          <t>SaaS</t>
        </is>
      </c>
      <c r="L78" s="75" t="n"/>
      <c r="M78" s="75" t="n"/>
      <c r="N78" s="75" t="n"/>
      <c r="O78" s="75" t="n"/>
      <c r="P78" s="75" t="n"/>
      <c r="Q78" s="75" t="inlineStr">
        <is>
          <t>N</t>
        </is>
      </c>
      <c r="R78" s="75" t="n"/>
      <c r="S78" s="75" t="inlineStr">
        <is>
          <t>Jeff Gersbach</t>
        </is>
      </c>
      <c r="T78" s="76" t="n">
        <v>44615</v>
      </c>
      <c r="U78" s="75" t="inlineStr">
        <is>
          <t>Verified via Jeff Gersbach</t>
        </is>
      </c>
      <c r="V78" s="76" t="n">
        <v>44615</v>
      </c>
      <c r="Y78" s="153" t="inlineStr">
        <is>
          <t>Global Inv - Mar 2026</t>
        </is>
      </c>
      <c r="Z78" s="153" t="inlineStr">
        <is>
          <t>Web browser</t>
        </is>
      </c>
      <c r="AA78" s="153" t="inlineStr">
        <is>
          <t>IT Operations</t>
        </is>
      </c>
      <c r="AB78" s="121">
        <f>VLOOKUP(AA78,CategorySummaryTable[],2,FALSE)</f>
        <v/>
      </c>
    </row>
    <row r="79" ht="80" customHeight="1" s="142">
      <c r="B79" s="93" t="inlineStr">
        <is>
          <t>Chromeleon</t>
        </is>
      </c>
      <c r="C79" s="75" t="inlineStr">
        <is>
          <t>Marked for deletetion</t>
        </is>
      </c>
      <c r="D79" s="75" t="inlineStr">
        <is>
          <t>Unknown</t>
        </is>
      </c>
      <c r="E79" s="75" t="n"/>
      <c r="F79" s="75" t="n"/>
      <c r="G79" s="75" t="n"/>
      <c r="H79" s="75" t="inlineStr">
        <is>
          <t>Plainsboro 105</t>
        </is>
      </c>
      <c r="I79" s="75" t="n"/>
      <c r="J79" s="75" t="n"/>
      <c r="K79" s="75" t="n"/>
      <c r="L79" s="75" t="n"/>
      <c r="M79" s="75" t="n"/>
      <c r="N79" s="75" t="n"/>
      <c r="O79" s="75" t="n"/>
      <c r="P79" s="75" t="n"/>
      <c r="Q79" s="75" t="inlineStr">
        <is>
          <t>N</t>
        </is>
      </c>
      <c r="R79" s="75" t="n"/>
      <c r="S79" s="75" t="n"/>
      <c r="T79" s="76" t="n"/>
      <c r="U79" s="75" t="n"/>
      <c r="V79" s="76" t="n"/>
      <c r="Y79" s="153" t="inlineStr">
        <is>
          <t>Global Inv - Mar 2026</t>
        </is>
      </c>
      <c r="Z79" s="153" t="inlineStr">
        <is>
          <t>Chromatography data system for analytical lab instruments</t>
        </is>
      </c>
      <c r="AA79" s="153" t="inlineStr">
        <is>
          <t>Clinical Manufacturing Process</t>
        </is>
      </c>
      <c r="AB79" s="121">
        <f>VLOOKUP(AA79,CategorySummaryTable[],2,FALSE)</f>
        <v/>
      </c>
    </row>
    <row r="80" ht="80" customHeight="1" s="142">
      <c r="B80" s="56" t="inlineStr">
        <is>
          <t>Chromeleon</t>
        </is>
      </c>
      <c r="C80" s="75" t="inlineStr">
        <is>
          <t>Manufacturing software in NJ</t>
        </is>
      </c>
      <c r="D80" s="75" t="inlineStr">
        <is>
          <t>Unknown</t>
        </is>
      </c>
      <c r="E80" s="75" t="inlineStr">
        <is>
          <t>Thermo Fisher Scientific</t>
        </is>
      </c>
      <c r="F80" s="75" t="n"/>
      <c r="G80" s="75" t="n"/>
      <c r="H80" s="75" t="inlineStr">
        <is>
          <t>Plainsboro Corp</t>
        </is>
      </c>
      <c r="I80" s="75" t="n"/>
      <c r="J80" s="75" t="n"/>
      <c r="K80" s="75" t="inlineStr">
        <is>
          <t>Desktop</t>
        </is>
      </c>
      <c r="L80" s="75" t="n"/>
      <c r="M80" s="75" t="n"/>
      <c r="N80" s="75" t="n"/>
      <c r="O80" s="75" t="n"/>
      <c r="P80" s="75" t="n"/>
      <c r="Q80" s="75" t="inlineStr">
        <is>
          <t>Y</t>
        </is>
      </c>
      <c r="R80" s="75" t="n"/>
      <c r="S80" s="75" t="n"/>
      <c r="T80" s="76" t="n"/>
      <c r="U80" s="75" t="n"/>
      <c r="V80" s="76" t="n"/>
      <c r="Y80" s="153" t="inlineStr">
        <is>
          <t>Global Inv - Mar 2026</t>
        </is>
      </c>
      <c r="Z80" s="153" t="inlineStr">
        <is>
          <t>Chromatography data system for analytical lab instruments</t>
        </is>
      </c>
      <c r="AA80" s="153" t="inlineStr">
        <is>
          <t>Clinical Manufacturing Process</t>
        </is>
      </c>
      <c r="AB80" s="121">
        <f>VLOOKUP(AA80,CategorySummaryTable[],2,FALSE)</f>
        <v/>
      </c>
    </row>
    <row r="81" ht="80" customHeight="1" s="142">
      <c r="B81" s="90" t="inlineStr">
        <is>
          <t>Cimco Edit</t>
        </is>
      </c>
      <c r="C81" s="75" t="inlineStr">
        <is>
          <t>Software that houses product drawings and designs</t>
        </is>
      </c>
      <c r="D81" s="75" t="inlineStr">
        <is>
          <t>Active</t>
        </is>
      </c>
      <c r="E81" s="75" t="inlineStr">
        <is>
          <t>Cimco</t>
        </is>
      </c>
      <c r="F81" s="75" t="n"/>
      <c r="G81" s="75" t="n"/>
      <c r="H81" s="75" t="inlineStr">
        <is>
          <t>Cincinnati</t>
        </is>
      </c>
      <c r="I81" s="75" t="inlineStr">
        <is>
          <t>Yes</t>
        </is>
      </c>
      <c r="J81" s="75" t="n"/>
      <c r="K81" s="75" t="n"/>
      <c r="L81" s="75" t="n"/>
      <c r="M81" s="75" t="n"/>
      <c r="N81" s="75" t="n"/>
      <c r="O81" s="75" t="n"/>
      <c r="P81" s="75" t="n"/>
      <c r="Q81" s="75" t="inlineStr">
        <is>
          <t>No</t>
        </is>
      </c>
      <c r="R81" s="75" t="n"/>
      <c r="S81" s="75" t="inlineStr">
        <is>
          <t>Michael Patterson</t>
        </is>
      </c>
      <c r="T81" s="76" t="n">
        <v>44516</v>
      </c>
      <c r="U81" s="75" t="inlineStr">
        <is>
          <t>Verified via Michael Patterson</t>
        </is>
      </c>
      <c r="V81" s="76" t="n">
        <v>44516</v>
      </c>
      <c r="Y81" s="153" t="inlineStr">
        <is>
          <t>Global Inv - Mar 2026</t>
        </is>
      </c>
      <c r="Z81" s="153" t="inlineStr">
        <is>
          <t>CNC program editor and DNC communication software</t>
        </is>
      </c>
      <c r="AA81" s="153" t="inlineStr">
        <is>
          <t>Manufacturing</t>
        </is>
      </c>
      <c r="AB81" s="121">
        <f>VLOOKUP(AA81,CategorySummaryTable[],2,FALSE)</f>
        <v/>
      </c>
    </row>
    <row r="82" ht="64" customHeight="1" s="142">
      <c r="B82" s="80" t="inlineStr">
        <is>
          <t>Cisco Access Control</t>
        </is>
      </c>
      <c r="C82" s="75" t="inlineStr">
        <is>
          <t>Expect to be decomissioned in 2019. Dependent on the wireless scanners certificate based project. Used for wireless authentication</t>
        </is>
      </c>
      <c r="D82" s="75" t="inlineStr">
        <is>
          <t>Unknown</t>
        </is>
      </c>
      <c r="E82" s="75" t="inlineStr">
        <is>
          <t>Cisco</t>
        </is>
      </c>
      <c r="F82" s="75" t="n"/>
      <c r="G82" s="75" t="inlineStr">
        <is>
          <t>Enterprise</t>
        </is>
      </c>
      <c r="H82" s="75" t="n"/>
      <c r="I82" s="75" t="inlineStr">
        <is>
          <t>Yes</t>
        </is>
      </c>
      <c r="J82" s="75" t="n"/>
      <c r="K82" s="75" t="inlineStr">
        <is>
          <t>On Premises (Client/Server)</t>
        </is>
      </c>
      <c r="L82" s="75" t="n"/>
      <c r="M82" s="75" t="n"/>
      <c r="N82" s="75" t="n"/>
      <c r="O82" s="75" t="n"/>
      <c r="P82" s="75" t="n"/>
      <c r="Q82" s="75" t="inlineStr">
        <is>
          <t>No</t>
        </is>
      </c>
      <c r="R82" s="75" t="n"/>
      <c r="S82" s="75" t="n"/>
      <c r="T82" s="76" t="n"/>
      <c r="U82" s="75" t="n"/>
      <c r="V82" s="76" t="n"/>
      <c r="Y82" s="153" t="inlineStr">
        <is>
          <t>Global Inv - Mar 2026</t>
        </is>
      </c>
      <c r="Z82" s="153" t="inlineStr">
        <is>
          <t>Network access control / authentication server</t>
        </is>
      </c>
      <c r="AA82" s="153" t="inlineStr">
        <is>
          <t>IT Operations</t>
        </is>
      </c>
      <c r="AB82" s="121">
        <f>VLOOKUP(AA82,CategorySummaryTable[],2,FALSE)</f>
        <v/>
      </c>
    </row>
    <row r="83" ht="64" customHeight="1" s="142">
      <c r="B83" s="80" t="inlineStr">
        <is>
          <t>Citrix</t>
        </is>
      </c>
      <c r="C83" s="75" t="inlineStr">
        <is>
          <t>Minimum impact during the weekend.</t>
        </is>
      </c>
      <c r="D83" s="75" t="inlineStr">
        <is>
          <t>Unknown</t>
        </is>
      </c>
      <c r="E83" s="75" t="inlineStr">
        <is>
          <t>Citrix</t>
        </is>
      </c>
      <c r="F83" s="75" t="n"/>
      <c r="G83" s="75" t="inlineStr">
        <is>
          <t>Enterprise</t>
        </is>
      </c>
      <c r="H83" s="75" t="n"/>
      <c r="I83" s="75" t="n"/>
      <c r="J83" s="75" t="n"/>
      <c r="K83" s="75" t="n"/>
      <c r="L83" s="75" t="n"/>
      <c r="M83" s="75" t="n"/>
      <c r="N83" s="75" t="n"/>
      <c r="O83" s="75" t="n"/>
      <c r="P83" s="75" t="n"/>
      <c r="Q83" s="75" t="inlineStr">
        <is>
          <t>No</t>
        </is>
      </c>
      <c r="R83" s="75" t="n"/>
      <c r="S83" s="75" t="n"/>
      <c r="T83" s="76" t="n"/>
      <c r="U83" s="75" t="n"/>
      <c r="V83" s="76" t="n"/>
      <c r="Y83" s="153" t="inlineStr">
        <is>
          <t>Global Inv - Mar 2026</t>
        </is>
      </c>
      <c r="Z83" s="153" t="inlineStr">
        <is>
          <t>Application and desktop virtualization / remote access platform</t>
        </is>
      </c>
      <c r="AA83" s="153" t="inlineStr">
        <is>
          <t>IT Operations</t>
        </is>
      </c>
      <c r="AB83" s="121">
        <f>VLOOKUP(AA83,CategorySummaryTable[],2,FALSE)</f>
        <v/>
      </c>
    </row>
    <row r="84" ht="64" customHeight="1" s="142">
      <c r="B84" s="80" t="inlineStr">
        <is>
          <t>Citrix</t>
        </is>
      </c>
      <c r="C84" s="75" t="inlineStr">
        <is>
          <t>Minimum impact during the weekend.</t>
        </is>
      </c>
      <c r="D84" s="75" t="inlineStr">
        <is>
          <t>Unknown</t>
        </is>
      </c>
      <c r="E84" s="75" t="inlineStr">
        <is>
          <t>Citrix</t>
        </is>
      </c>
      <c r="F84" s="75" t="n"/>
      <c r="G84" s="75" t="inlineStr">
        <is>
          <t>Enterprise</t>
        </is>
      </c>
      <c r="H84" s="75" t="n"/>
      <c r="I84" s="75" t="n"/>
      <c r="J84" s="75" t="n"/>
      <c r="K84" s="75" t="n"/>
      <c r="L84" s="75" t="n"/>
      <c r="M84" s="75" t="n"/>
      <c r="N84" s="75" t="n"/>
      <c r="O84" s="75" t="n"/>
      <c r="P84" s="75" t="n"/>
      <c r="Q84" s="75" t="inlineStr">
        <is>
          <t>No</t>
        </is>
      </c>
      <c r="R84" s="75" t="n"/>
      <c r="S84" s="75" t="n"/>
      <c r="T84" s="76" t="n"/>
      <c r="U84" s="75" t="n"/>
      <c r="V84" s="76" t="n"/>
      <c r="Y84" s="153" t="inlineStr">
        <is>
          <t>Global Inv - Mar 2026</t>
        </is>
      </c>
      <c r="Z84" s="153" t="inlineStr">
        <is>
          <t>Application and desktop virtualization / remote access platform</t>
        </is>
      </c>
      <c r="AA84" s="153" t="inlineStr">
        <is>
          <t>IT Operations</t>
        </is>
      </c>
      <c r="AB84" s="121">
        <f>VLOOKUP(AA84,CategorySummaryTable[],2,FALSE)</f>
        <v/>
      </c>
    </row>
    <row r="85" ht="64" customHeight="1" s="142">
      <c r="B85" s="77" t="inlineStr">
        <is>
          <t>CITRIX</t>
        </is>
      </c>
      <c r="C85" s="75" t="n"/>
      <c r="D85" s="75" t="inlineStr">
        <is>
          <t>Unknown</t>
        </is>
      </c>
      <c r="E85" s="75" t="inlineStr">
        <is>
          <t>Citrix</t>
        </is>
      </c>
      <c r="F85" s="75" t="n"/>
      <c r="G85" s="75" t="n"/>
      <c r="H85" s="75" t="inlineStr">
        <is>
          <t>St. Aubin</t>
        </is>
      </c>
      <c r="I85" s="75" t="n"/>
      <c r="J85" s="75" t="n"/>
      <c r="K85" s="75" t="inlineStr">
        <is>
          <t>on-prem / Web</t>
        </is>
      </c>
      <c r="L85" s="75" t="n"/>
      <c r="M85" s="75" t="n"/>
      <c r="N85" s="75" t="n"/>
      <c r="O85" s="75" t="n"/>
      <c r="P85" s="75" t="n"/>
      <c r="Q85" s="75" t="inlineStr">
        <is>
          <t>No</t>
        </is>
      </c>
      <c r="R85" s="75" t="n"/>
      <c r="S85" s="75" t="n"/>
      <c r="T85" s="76" t="n"/>
      <c r="U85" s="75" t="inlineStr">
        <is>
          <t>Erik Melchior</t>
        </is>
      </c>
      <c r="V85" s="76" t="n"/>
      <c r="Y85" s="153" t="inlineStr">
        <is>
          <t>Global Inv - Mar 2026</t>
        </is>
      </c>
      <c r="Z85" s="153" t="inlineStr">
        <is>
          <t>Application and desktop virtualization / remote access platform</t>
        </is>
      </c>
      <c r="AA85" s="153" t="inlineStr">
        <is>
          <t>IT Operations</t>
        </is>
      </c>
      <c r="AB85" s="121">
        <f>VLOOKUP(AA85,CategorySummaryTable[],2,FALSE)</f>
        <v/>
      </c>
    </row>
    <row r="86" ht="64" customHeight="1" s="142">
      <c r="B86" s="82" t="inlineStr">
        <is>
          <t>Citrix</t>
        </is>
      </c>
      <c r="C86" s="75" t="inlineStr">
        <is>
          <t>Remote Desktop servers for RDS Farm servers. Multiple consultants utilize this remotely VIA citrix. Hosts many applications for development between multiple projects</t>
        </is>
      </c>
      <c r="D86" s="75" t="inlineStr">
        <is>
          <t>Unknown</t>
        </is>
      </c>
      <c r="E86" s="75" t="inlineStr">
        <is>
          <t>Citrix</t>
        </is>
      </c>
      <c r="F86" s="75" t="n"/>
      <c r="G86" s="75" t="n"/>
      <c r="H86" s="75" t="n"/>
      <c r="I86" s="75" t="n"/>
      <c r="J86" s="75" t="n"/>
      <c r="K86" s="75" t="inlineStr">
        <is>
          <t>on-prem 1100 &amp; Biot + Azure PaaS</t>
        </is>
      </c>
      <c r="L86" s="75" t="n"/>
      <c r="M86" s="75" t="n"/>
      <c r="N86" s="75" t="n"/>
      <c r="O86" s="75" t="n"/>
      <c r="P86" s="75" t="n"/>
      <c r="Q86" s="75" t="inlineStr">
        <is>
          <t>No</t>
        </is>
      </c>
      <c r="R86" s="75" t="n"/>
      <c r="S86" s="75" t="n"/>
      <c r="T86" s="76" t="n"/>
      <c r="U86" s="75" t="inlineStr">
        <is>
          <t>server?</t>
        </is>
      </c>
      <c r="V86" s="76" t="n"/>
      <c r="Y86" s="153" t="inlineStr">
        <is>
          <t>Global Inv - Mar 2026</t>
        </is>
      </c>
      <c r="Z86" s="153" t="inlineStr">
        <is>
          <t>Application and desktop virtualization / remote access platform</t>
        </is>
      </c>
      <c r="AA86" s="153" t="inlineStr">
        <is>
          <t>IT Operations</t>
        </is>
      </c>
      <c r="AB86" s="121">
        <f>VLOOKUP(AA86,CategorySummaryTable[],2,FALSE)</f>
        <v/>
      </c>
    </row>
    <row r="87" ht="64" customHeight="1" s="142">
      <c r="B87" s="80" t="inlineStr">
        <is>
          <t>Citrix Server Sage/Misys</t>
        </is>
      </c>
      <c r="C87" s="75" t="n"/>
      <c r="D87" s="75" t="inlineStr">
        <is>
          <t>Unknown</t>
        </is>
      </c>
      <c r="E87" s="75" t="inlineStr">
        <is>
          <t>Citrix</t>
        </is>
      </c>
      <c r="F87" s="75" t="n"/>
      <c r="G87" s="75" t="n"/>
      <c r="H87" s="75" t="inlineStr">
        <is>
          <t>Americas - Canada and US AP/AR Derma (residual)</t>
        </is>
      </c>
      <c r="I87" s="75" t="inlineStr">
        <is>
          <t>Yes</t>
        </is>
      </c>
      <c r="J87" s="75" t="n"/>
      <c r="K87" s="75" t="n"/>
      <c r="L87" s="75" t="n"/>
      <c r="M87" s="75" t="n"/>
      <c r="N87" s="75" t="n"/>
      <c r="O87" s="75" t="n"/>
      <c r="P87" s="75" t="n"/>
      <c r="Q87" s="75" t="inlineStr">
        <is>
          <t>No</t>
        </is>
      </c>
      <c r="R87" s="75" t="n"/>
      <c r="S87" s="75" t="n"/>
      <c r="T87" s="76" t="n"/>
      <c r="U87" s="75" t="inlineStr">
        <is>
          <t>server?</t>
        </is>
      </c>
      <c r="V87" s="76" t="n"/>
      <c r="Y87" s="153" t="inlineStr">
        <is>
          <t>Global Inv - Mar 2026</t>
        </is>
      </c>
      <c r="Z87" s="153" t="inlineStr">
        <is>
          <t>Application/desktop virtualization platform hosting Sage/Misys software</t>
        </is>
      </c>
      <c r="AA87" s="153" t="inlineStr">
        <is>
          <t>IT Operations</t>
        </is>
      </c>
      <c r="AB87" s="121">
        <f>VLOOKUP(AA87,CategorySummaryTable[],2,FALSE)</f>
        <v/>
      </c>
    </row>
    <row r="88" ht="64" customHeight="1" s="142">
      <c r="B88" s="58" t="inlineStr">
        <is>
          <t>Citrix VDI for S&amp;N</t>
        </is>
      </c>
      <c r="C88" s="75" t="inlineStr">
        <is>
          <t>Business critical until TSA exits. For virtual desktop for Smith &amp; Nephew users to access Integra applications and systems from S&amp;N laptops and network. Resource library: https://integralife.sharepoint.com/sites/Azure/VDI/Forms/AllItems.aspx</t>
        </is>
      </c>
      <c r="D88" s="75" t="inlineStr">
        <is>
          <t>Active</t>
        </is>
      </c>
      <c r="E88" s="75" t="inlineStr">
        <is>
          <t>Citrix</t>
        </is>
      </c>
      <c r="F88" s="75" t="n"/>
      <c r="G88" s="75" t="n"/>
      <c r="H88" s="75" t="inlineStr">
        <is>
          <t>US and Europe</t>
        </is>
      </c>
      <c r="I88" s="75" t="n"/>
      <c r="J88" s="75" t="inlineStr">
        <is>
          <t>Azure</t>
        </is>
      </c>
      <c r="K88" s="75" t="inlineStr">
        <is>
          <t>Desktop</t>
        </is>
      </c>
      <c r="L88" s="75" t="n"/>
      <c r="M88" s="75" t="inlineStr">
        <is>
          <t>Yes</t>
        </is>
      </c>
      <c r="N88" s="75" t="n"/>
      <c r="O88" s="75" t="n"/>
      <c r="P88" s="75" t="inlineStr">
        <is>
          <t>T4</t>
        </is>
      </c>
      <c r="Q88" s="75" t="inlineStr">
        <is>
          <t>No</t>
        </is>
      </c>
      <c r="R88" s="75" t="n"/>
      <c r="S88" s="75" t="n"/>
      <c r="T88" s="76" t="n"/>
      <c r="U88" s="75" t="n"/>
      <c r="V88" s="76" t="n"/>
      <c r="Y88" s="153" t="inlineStr">
        <is>
          <t>Global Inv - Mar 2026</t>
        </is>
      </c>
      <c r="Z88" s="153" t="inlineStr">
        <is>
          <t>Virtual desktop infrastructure (VDI) for remote application access</t>
        </is>
      </c>
      <c r="AA88" s="153" t="inlineStr">
        <is>
          <t>IT Operations</t>
        </is>
      </c>
      <c r="AB88" s="121">
        <f>VLOOKUP(AA88,CategorySummaryTable[],2,FALSE)</f>
        <v/>
      </c>
    </row>
    <row r="89" ht="96" customHeight="1" s="142">
      <c r="B89" s="80" t="inlineStr">
        <is>
          <t>Clindex</t>
        </is>
      </c>
      <c r="C89" s="87" t="n"/>
      <c r="D89" s="87" t="n"/>
      <c r="E89" s="88" t="n"/>
      <c r="F89" s="87" t="n"/>
      <c r="G89" s="88" t="n"/>
      <c r="H89" s="88" t="n"/>
      <c r="I89" s="88" t="n"/>
      <c r="J89" s="88" t="n"/>
      <c r="K89" s="88" t="n"/>
      <c r="L89" s="88" t="n"/>
      <c r="M89" s="88" t="n"/>
      <c r="N89" s="88" t="n"/>
      <c r="O89" s="88" t="n"/>
      <c r="P89" s="88" t="n"/>
      <c r="Q89" s="88" t="inlineStr">
        <is>
          <t>Yes</t>
        </is>
      </c>
      <c r="R89" s="88" t="n"/>
      <c r="S89" s="87" t="inlineStr">
        <is>
          <t>Kevin McParland</t>
        </is>
      </c>
      <c r="T89" s="89" t="n">
        <v>44693</v>
      </c>
      <c r="U89" s="87" t="n"/>
      <c r="V89" s="89" t="n"/>
      <c r="Y89" s="153" t="inlineStr">
        <is>
          <t>Global Inv - Mar 2026</t>
        </is>
      </c>
      <c r="Z89" s="153" t="inlineStr">
        <is>
          <t>Clinical trial management, data management and electronic data capture system</t>
        </is>
      </c>
      <c r="AA89" s="153" t="inlineStr">
        <is>
          <t>Clinical Trials</t>
        </is>
      </c>
      <c r="AB89" s="121">
        <f>VLOOKUP(AA89,CategorySummaryTable[],2,FALSE)</f>
        <v/>
      </c>
    </row>
    <row r="90" ht="64" customHeight="1" s="142">
      <c r="B90" s="80" t="inlineStr">
        <is>
          <t>CMS Supervisor</t>
        </is>
      </c>
      <c r="C90" s="75" t="inlineStr">
        <is>
          <t>Call Management System Supervisor</t>
        </is>
      </c>
      <c r="D90" s="75" t="inlineStr">
        <is>
          <t>Unknown</t>
        </is>
      </c>
      <c r="E90" s="75" t="inlineStr">
        <is>
          <t>Microsoft</t>
        </is>
      </c>
      <c r="F90" s="75" t="n"/>
      <c r="G90" s="75" t="n"/>
      <c r="H90" s="75" t="n"/>
      <c r="I90" s="75" t="n"/>
      <c r="J90" s="75" t="inlineStr">
        <is>
          <t>Other</t>
        </is>
      </c>
      <c r="K90" s="75" t="n"/>
      <c r="L90" s="75" t="n"/>
      <c r="M90" s="75" t="n"/>
      <c r="N90" s="75" t="n"/>
      <c r="O90" s="75" t="n"/>
      <c r="P90" s="75" t="n"/>
      <c r="Q90" s="75" t="n"/>
      <c r="R90" s="75" t="n"/>
      <c r="S90" s="75" t="n"/>
      <c r="T90" s="76" t="n"/>
      <c r="U90" s="75" t="inlineStr">
        <is>
          <t>Matt Rugierio</t>
        </is>
      </c>
      <c r="V90" s="76" t="n"/>
      <c r="Y90" s="153" t="inlineStr">
        <is>
          <t>Global Inv - Mar 2026</t>
        </is>
      </c>
      <c r="Z90" s="153" t="inlineStr">
        <is>
          <t>Call center reporting and supervision software (Avaya CMS)</t>
        </is>
      </c>
      <c r="AA90" s="153" t="inlineStr">
        <is>
          <t>IT Operations</t>
        </is>
      </c>
      <c r="AB90" s="121">
        <f>VLOOKUP(AA90,CategorySummaryTable[],2,FALSE)</f>
        <v/>
      </c>
    </row>
    <row r="91" ht="80" customHeight="1" s="142">
      <c r="B91" s="57" t="inlineStr">
        <is>
          <t>Code 39 Font</t>
        </is>
      </c>
      <c r="C91" s="75" t="inlineStr">
        <is>
          <t>Generates bar codes. Seen on one active machine in LS</t>
        </is>
      </c>
      <c r="D91" s="75" t="inlineStr">
        <is>
          <t>Active</t>
        </is>
      </c>
      <c r="E91" s="75" t="inlineStr">
        <is>
          <t>IDAutomation</t>
        </is>
      </c>
      <c r="F91" s="75" t="n"/>
      <c r="G91" s="75" t="n"/>
      <c r="H91" s="75" t="inlineStr">
        <is>
          <t>Cincinnati</t>
        </is>
      </c>
      <c r="I91" s="75" t="inlineStr">
        <is>
          <t>Yes</t>
        </is>
      </c>
      <c r="J91" s="75" t="n"/>
      <c r="K91" s="75" t="inlineStr">
        <is>
          <t>Desktop</t>
        </is>
      </c>
      <c r="L91" s="75" t="n"/>
      <c r="M91" s="75" t="n"/>
      <c r="N91" s="75" t="n"/>
      <c r="O91" s="75" t="n"/>
      <c r="P91" s="75" t="n"/>
      <c r="Q91" s="75" t="inlineStr">
        <is>
          <t>No</t>
        </is>
      </c>
      <c r="R91" s="75" t="n"/>
      <c r="S91" s="75" t="inlineStr">
        <is>
          <t>Michael Patterson</t>
        </is>
      </c>
      <c r="T91" s="76" t="n">
        <v>44516</v>
      </c>
      <c r="U91" s="75" t="inlineStr">
        <is>
          <t>Verified via Michael Patterson</t>
        </is>
      </c>
      <c r="V91" s="76" t="n">
        <v>44516</v>
      </c>
      <c r="Y91" s="153" t="inlineStr">
        <is>
          <t>Global Inv - Mar 2026</t>
        </is>
      </c>
      <c r="Z91" s="153" t="inlineStr">
        <is>
          <t>Barcode font software for generating Code 39 barcodes</t>
        </is>
      </c>
      <c r="AA91" s="153" t="inlineStr">
        <is>
          <t>Manufacturing</t>
        </is>
      </c>
      <c r="AB91" s="121">
        <f>VLOOKUP(AA91,CategorySummaryTable[],2,FALSE)</f>
        <v/>
      </c>
    </row>
    <row r="92" ht="80" customHeight="1" s="142">
      <c r="B92" s="56" t="inlineStr">
        <is>
          <t>CODESOFT 9</t>
        </is>
      </c>
      <c r="C92" s="75" t="n"/>
      <c r="D92" s="75" t="inlineStr">
        <is>
          <t>Unknown</t>
        </is>
      </c>
      <c r="E92" s="75" t="inlineStr">
        <is>
          <t>Teklynx</t>
        </is>
      </c>
      <c r="F92" s="75" t="n"/>
      <c r="G92" s="75" t="n"/>
      <c r="H92" s="75" t="inlineStr">
        <is>
          <t>St. Aubin</t>
        </is>
      </c>
      <c r="I92" s="75" t="inlineStr">
        <is>
          <t>Yes</t>
        </is>
      </c>
      <c r="J92" s="75" t="n"/>
      <c r="K92" s="75" t="inlineStr">
        <is>
          <t>On Premises (Client/Server)</t>
        </is>
      </c>
      <c r="L92" s="75" t="n"/>
      <c r="M92" s="75" t="n"/>
      <c r="N92" s="75" t="n"/>
      <c r="O92" s="75" t="n"/>
      <c r="P92" s="75" t="n"/>
      <c r="Q92" s="75" t="n"/>
      <c r="R92" s="75" t="n"/>
      <c r="S92" s="75" t="n"/>
      <c r="T92" s="76" t="n"/>
      <c r="U92" s="75" t="inlineStr">
        <is>
          <t>Kishor Patel or Charles Ferrer</t>
        </is>
      </c>
      <c r="V92" s="76" t="n"/>
      <c r="Y92" s="153" t="inlineStr">
        <is>
          <t>Global Inv - Mar 2026</t>
        </is>
      </c>
      <c r="Z92" s="153" t="inlineStr">
        <is>
          <t>Barcode and label design/printing software</t>
        </is>
      </c>
      <c r="AA92" s="153" t="inlineStr">
        <is>
          <t>Manufacturing</t>
        </is>
      </c>
      <c r="AB92" s="121">
        <f>VLOOKUP(AA92,CategorySummaryTable[],2,FALSE)</f>
        <v/>
      </c>
    </row>
    <row r="93" ht="80" customHeight="1" s="142">
      <c r="B93" s="77" t="inlineStr">
        <is>
          <t>Codis Excelerator</t>
        </is>
      </c>
      <c r="C93" s="75" t="n"/>
      <c r="D93" s="75" t="inlineStr">
        <is>
          <t>Unknown</t>
        </is>
      </c>
      <c r="E93" s="75" t="inlineStr">
        <is>
          <t>Codis</t>
        </is>
      </c>
      <c r="F93" s="75" t="n"/>
      <c r="G93" s="75" t="n"/>
      <c r="H93" s="75" t="inlineStr">
        <is>
          <t>Andover, Dublin</t>
        </is>
      </c>
      <c r="I93" s="75" t="n"/>
      <c r="J93" s="75" t="n"/>
      <c r="K93" s="75" t="inlineStr">
        <is>
          <t>Desktop</t>
        </is>
      </c>
      <c r="L93" s="75" t="n"/>
      <c r="M93" s="75" t="n"/>
      <c r="N93" s="75" t="n"/>
      <c r="O93" s="75" t="n"/>
      <c r="P93" s="75" t="n"/>
      <c r="Q93" s="75" t="inlineStr">
        <is>
          <t>N</t>
        </is>
      </c>
      <c r="R93" s="75" t="n"/>
      <c r="S93" s="75" t="n"/>
      <c r="T93" s="76" t="n"/>
      <c r="U93" s="75" t="inlineStr">
        <is>
          <t>Paul James. Federico Argento</t>
        </is>
      </c>
      <c r="V93" s="76" t="n"/>
      <c r="Y93" s="153" t="inlineStr">
        <is>
          <t>Global Inv - Mar 2026</t>
        </is>
      </c>
      <c r="Z93" s="153" t="inlineStr">
        <is>
          <t>Excel-to-Sage data import and integration add-in</t>
        </is>
      </c>
      <c r="AA93" s="153" t="inlineStr">
        <is>
          <t>Clinical Manufacturing Process</t>
        </is>
      </c>
      <c r="AB93" s="121">
        <f>VLOOKUP(AA93,CategorySummaryTable[],2,FALSE)</f>
        <v/>
      </c>
    </row>
    <row r="94" ht="80" customHeight="1" s="142">
      <c r="B94" s="56" t="inlineStr">
        <is>
          <t>COGNOS</t>
        </is>
      </c>
      <c r="C94" s="75" t="n"/>
      <c r="D94" s="75" t="inlineStr">
        <is>
          <t>Survey Complete</t>
        </is>
      </c>
      <c r="E94" s="75" t="inlineStr">
        <is>
          <t>IBM</t>
        </is>
      </c>
      <c r="F94" s="75" t="n"/>
      <c r="G94" s="75" t="n"/>
      <c r="H94" s="75" t="inlineStr">
        <is>
          <t>Multi-Site</t>
        </is>
      </c>
      <c r="I94" s="75" t="inlineStr">
        <is>
          <t>Yes</t>
        </is>
      </c>
      <c r="J94" s="75" t="n"/>
      <c r="K94" s="75" t="inlineStr">
        <is>
          <t>On Premises (Client/Server)</t>
        </is>
      </c>
      <c r="L94" s="75" t="n"/>
      <c r="M94" s="75" t="n"/>
      <c r="N94" s="75" t="n"/>
      <c r="O94" s="75" t="n"/>
      <c r="P94" s="75" t="n"/>
      <c r="Q94" s="75" t="inlineStr">
        <is>
          <t>N</t>
        </is>
      </c>
      <c r="R94" s="75" t="n"/>
      <c r="S94" s="75" t="n"/>
      <c r="T94" s="76" t="n"/>
      <c r="U94" s="75" t="n"/>
      <c r="V94" s="76" t="n"/>
      <c r="Y94" s="153" t="inlineStr">
        <is>
          <t>Global Inv - Mar 2026</t>
        </is>
      </c>
      <c r="Z94" s="153" t="inlineStr">
        <is>
          <t>Business intelligence and reporting software</t>
        </is>
      </c>
      <c r="AA94" s="153" t="inlineStr">
        <is>
          <t>Data and Analytics</t>
        </is>
      </c>
      <c r="AB94" s="121">
        <f>VLOOKUP(AA94,CategorySummaryTable[],2,FALSE)</f>
        <v/>
      </c>
    </row>
    <row r="95" ht="80" customHeight="1" s="142">
      <c r="B95" s="82" t="inlineStr">
        <is>
          <t>Colobo</t>
        </is>
      </c>
      <c r="C95" s="75" t="inlineStr">
        <is>
          <t>Japan Marketing Website</t>
        </is>
      </c>
      <c r="D95" s="75" t="inlineStr">
        <is>
          <t>Unknown</t>
        </is>
      </c>
      <c r="E95" s="75" t="inlineStr">
        <is>
          <t>Colobo</t>
        </is>
      </c>
      <c r="F95" s="75" t="n"/>
      <c r="G95" s="75" t="n"/>
      <c r="H95" s="75" t="inlineStr">
        <is>
          <t>Japan</t>
        </is>
      </c>
      <c r="I95" s="75" t="n"/>
      <c r="J95" s="75" t="inlineStr">
        <is>
          <t>Other</t>
        </is>
      </c>
      <c r="K95" s="75" t="inlineStr">
        <is>
          <t>SaaS</t>
        </is>
      </c>
      <c r="L95" s="75" t="n"/>
      <c r="M95" s="75" t="n"/>
      <c r="N95" s="75" t="n"/>
      <c r="O95" s="75" t="n"/>
      <c r="P95" s="75" t="n"/>
      <c r="Q95" s="75" t="inlineStr">
        <is>
          <t>No</t>
        </is>
      </c>
      <c r="R95" s="75" t="n"/>
      <c r="S95" s="75" t="n"/>
      <c r="T95" s="76" t="n"/>
      <c r="U95" s="75" t="n"/>
      <c r="V95" s="76" t="n"/>
      <c r="Y95" s="153" t="inlineStr">
        <is>
          <t>Global Inv - Mar 2026</t>
        </is>
      </c>
      <c r="Z95" s="153" t="inlineStr">
        <is>
          <t>NA</t>
        </is>
      </c>
      <c r="AA95" s="153" t="inlineStr">
        <is>
          <t>Marketing</t>
        </is>
      </c>
      <c r="AB95" s="121">
        <f>VLOOKUP(AA95,CategorySummaryTable[],2,FALSE)</f>
        <v/>
      </c>
    </row>
    <row r="96" ht="64" customHeight="1" s="142">
      <c r="B96" s="80" t="inlineStr">
        <is>
          <t>Comfio Infinite</t>
        </is>
      </c>
      <c r="C96" s="75" t="n"/>
      <c r="D96" s="75" t="inlineStr">
        <is>
          <t>Unknown</t>
        </is>
      </c>
      <c r="E96" s="75" t="inlineStr">
        <is>
          <t>ComFio</t>
        </is>
      </c>
      <c r="F96" s="75" t="n"/>
      <c r="G96" s="75" t="n"/>
      <c r="H96" s="75" t="n"/>
      <c r="I96" s="75" t="n"/>
      <c r="J96" s="75" t="inlineStr">
        <is>
          <t>Other</t>
        </is>
      </c>
      <c r="K96" s="75" t="n"/>
      <c r="L96" s="75" t="n"/>
      <c r="M96" s="75" t="n"/>
      <c r="N96" s="75" t="n"/>
      <c r="O96" s="75" t="n"/>
      <c r="P96" s="75" t="n"/>
      <c r="Q96" s="75" t="n"/>
      <c r="R96" s="75" t="n"/>
      <c r="S96" s="75" t="n"/>
      <c r="T96" s="76" t="n"/>
      <c r="U96" s="75" t="inlineStr">
        <is>
          <t>Daniel Marabotti</t>
        </is>
      </c>
      <c r="V96" s="76" t="n"/>
      <c r="Y96" s="153" t="inlineStr">
        <is>
          <t>Global Inv - Mar 2026</t>
        </is>
      </c>
      <c r="Z96" s="153" t="inlineStr">
        <is>
          <t>NA</t>
        </is>
      </c>
      <c r="AA96" s="153" t="inlineStr">
        <is>
          <t>IT Operations</t>
        </is>
      </c>
      <c r="AB96" s="121">
        <f>VLOOKUP(AA96,CategorySummaryTable[],2,FALSE)</f>
        <v/>
      </c>
    </row>
    <row r="97" ht="64" customHeight="1" s="142">
      <c r="B97" s="80" t="inlineStr">
        <is>
          <t>CommValut Sever</t>
        </is>
      </c>
      <c r="C97" s="75" t="inlineStr">
        <is>
          <t>CommVault?</t>
        </is>
      </c>
      <c r="D97" s="75" t="inlineStr">
        <is>
          <t>Unknown</t>
        </is>
      </c>
      <c r="E97" s="75" t="inlineStr">
        <is>
          <t>CommVault</t>
        </is>
      </c>
      <c r="F97" s="75" t="n"/>
      <c r="G97" s="75" t="n"/>
      <c r="H97" s="75" t="n"/>
      <c r="I97" s="75" t="n"/>
      <c r="J97" s="75" t="inlineStr">
        <is>
          <t>Other</t>
        </is>
      </c>
      <c r="K97" s="75" t="n"/>
      <c r="L97" s="75" t="n"/>
      <c r="M97" s="75" t="n"/>
      <c r="N97" s="75" t="n"/>
      <c r="O97" s="75" t="n"/>
      <c r="P97" s="75" t="n"/>
      <c r="Q97" s="75" t="n"/>
      <c r="R97" s="75" t="n"/>
      <c r="S97" s="75" t="n"/>
      <c r="T97" s="76" t="n"/>
      <c r="U97" s="75" t="n"/>
      <c r="V97" s="76" t="n"/>
      <c r="Y97" s="153" t="inlineStr">
        <is>
          <t>Global Inv - Mar 2026</t>
        </is>
      </c>
      <c r="Z97" s="153" t="inlineStr">
        <is>
          <t>Data backup, recovery and data management software</t>
        </is>
      </c>
      <c r="AA97" s="153" t="inlineStr">
        <is>
          <t>IT Operations</t>
        </is>
      </c>
      <c r="AB97" s="121">
        <f>VLOOKUP(AA97,CategorySummaryTable[],2,FALSE)</f>
        <v/>
      </c>
    </row>
    <row r="98" ht="64" customHeight="1" s="142">
      <c r="B98" s="80" t="inlineStr">
        <is>
          <t>CommVault</t>
        </is>
      </c>
      <c r="C98" s="75" t="n"/>
      <c r="D98" s="75" t="inlineStr">
        <is>
          <t>Unknown</t>
        </is>
      </c>
      <c r="E98" s="75" t="inlineStr">
        <is>
          <t>CommVault</t>
        </is>
      </c>
      <c r="F98" s="75" t="n"/>
      <c r="G98" s="75" t="n"/>
      <c r="H98" s="75" t="inlineStr">
        <is>
          <t>Corporate</t>
        </is>
      </c>
      <c r="I98" s="75" t="inlineStr">
        <is>
          <t>Yes</t>
        </is>
      </c>
      <c r="J98" s="75" t="n"/>
      <c r="K98" s="75" t="n"/>
      <c r="L98" s="75" t="n"/>
      <c r="M98" s="75" t="n"/>
      <c r="N98" s="75" t="inlineStr">
        <is>
          <t>Yes</t>
        </is>
      </c>
      <c r="O98" s="75" t="n"/>
      <c r="P98" s="75" t="n"/>
      <c r="Q98" s="75" t="inlineStr">
        <is>
          <t>No</t>
        </is>
      </c>
      <c r="R98" s="75" t="n"/>
      <c r="S98" s="75" t="n"/>
      <c r="T98" s="76" t="n"/>
      <c r="U98" s="75" t="n"/>
      <c r="V98" s="76" t="n"/>
      <c r="Y98" s="153" t="inlineStr">
        <is>
          <t>Global Inv - Mar 2026</t>
        </is>
      </c>
      <c r="Z98" s="153" t="inlineStr">
        <is>
          <t>Data backup, recovery and data management software</t>
        </is>
      </c>
      <c r="AA98" s="153" t="inlineStr">
        <is>
          <t>IT Operations</t>
        </is>
      </c>
      <c r="AB98" s="121">
        <f>VLOOKUP(AA98,CategorySummaryTable[],2,FALSE)</f>
        <v/>
      </c>
    </row>
    <row r="99" ht="64" customHeight="1" s="142">
      <c r="B99" s="77" t="inlineStr">
        <is>
          <t>CommVault</t>
        </is>
      </c>
      <c r="C99" s="75" t="n"/>
      <c r="D99" s="75" t="inlineStr">
        <is>
          <t>Unknown</t>
        </is>
      </c>
      <c r="E99" s="75" t="n"/>
      <c r="F99" s="75" t="n"/>
      <c r="G99" s="75" t="n"/>
      <c r="H99" s="75" t="inlineStr">
        <is>
          <t>Puerto Rico</t>
        </is>
      </c>
      <c r="I99" s="75" t="n"/>
      <c r="J99" s="75" t="n"/>
      <c r="K99" s="75" t="inlineStr">
        <is>
          <t>Desktop</t>
        </is>
      </c>
      <c r="L99" s="75" t="n"/>
      <c r="M99" s="75" t="n"/>
      <c r="N99" s="75" t="inlineStr">
        <is>
          <t>Yes</t>
        </is>
      </c>
      <c r="O99" s="75" t="n"/>
      <c r="P99" s="75" t="n"/>
      <c r="Q99" s="75" t="inlineStr">
        <is>
          <t>N</t>
        </is>
      </c>
      <c r="R99" s="75" t="n"/>
      <c r="S99" s="75" t="n"/>
      <c r="T99" s="76" t="n"/>
      <c r="U99" s="75" t="n"/>
      <c r="V99" s="76" t="n"/>
      <c r="Y99" s="153" t="inlineStr">
        <is>
          <t>Global Inv - Mar 2026</t>
        </is>
      </c>
      <c r="Z99" s="153" t="inlineStr">
        <is>
          <t>Data backup, recovery and data management software</t>
        </is>
      </c>
      <c r="AA99" s="153" t="inlineStr">
        <is>
          <t>IT Operations</t>
        </is>
      </c>
      <c r="AB99" s="121">
        <f>VLOOKUP(AA99,CategorySummaryTable[],2,FALSE)</f>
        <v/>
      </c>
    </row>
    <row r="100" ht="64" customHeight="1" s="142">
      <c r="B100" s="77" t="inlineStr">
        <is>
          <t>CommVault Backup &amp; Recovery</t>
        </is>
      </c>
      <c r="C100" s="75" t="inlineStr">
        <is>
          <t>Plainsboro Backup Solution - Comprised of 4 servers</t>
        </is>
      </c>
      <c r="D100" s="75" t="inlineStr">
        <is>
          <t>Unknown</t>
        </is>
      </c>
      <c r="E100" s="75" t="inlineStr">
        <is>
          <t>CommVault</t>
        </is>
      </c>
      <c r="F100" s="75" t="n"/>
      <c r="G100" s="75" t="n"/>
      <c r="H100" s="75" t="n"/>
      <c r="I100" s="75" t="inlineStr">
        <is>
          <t>Yes</t>
        </is>
      </c>
      <c r="J100" s="75" t="n"/>
      <c r="K100" s="75" t="inlineStr">
        <is>
          <t>On Premises (Client/Server)</t>
        </is>
      </c>
      <c r="L100" s="75" t="n"/>
      <c r="M100" s="75" t="n"/>
      <c r="N100" s="75" t="n"/>
      <c r="O100" s="75" t="n"/>
      <c r="P100" s="75" t="n"/>
      <c r="Q100" s="75" t="inlineStr">
        <is>
          <t>No</t>
        </is>
      </c>
      <c r="R100" s="75" t="n"/>
      <c r="S100" s="75" t="n"/>
      <c r="T100" s="76" t="n"/>
      <c r="U100" s="75" t="n"/>
      <c r="V100" s="76" t="n"/>
      <c r="Y100" s="153" t="inlineStr">
        <is>
          <t>Global Inv - Mar 2026</t>
        </is>
      </c>
      <c r="Z100" s="153" t="inlineStr">
        <is>
          <t>Data backup and recovery software</t>
        </is>
      </c>
      <c r="AA100" s="153" t="inlineStr">
        <is>
          <t>IT Operations</t>
        </is>
      </c>
      <c r="AB100" s="121">
        <f>VLOOKUP(AA100,CategorySummaryTable[],2,FALSE)</f>
        <v/>
      </c>
    </row>
    <row r="101" ht="64" customHeight="1" s="142">
      <c r="B101" s="90" t="inlineStr">
        <is>
          <t>Compass Application</t>
        </is>
      </c>
      <c r="C101" s="75" t="inlineStr">
        <is>
          <t>Compass is a FileMaker database storing information about contracts in order to fill gaps in reporting and customer service found in Model-N.</t>
        </is>
      </c>
      <c r="D101" s="75" t="inlineStr">
        <is>
          <t>Active</t>
        </is>
      </c>
      <c r="E101" s="75" t="inlineStr">
        <is>
          <t>Claris, Inc.</t>
        </is>
      </c>
      <c r="F101" s="75" t="n"/>
      <c r="G101" s="75" t="n"/>
      <c r="H101" s="75" t="inlineStr">
        <is>
          <t>US</t>
        </is>
      </c>
      <c r="I101" s="75" t="inlineStr">
        <is>
          <t>Yes</t>
        </is>
      </c>
      <c r="J101" s="75" t="n"/>
      <c r="K101" s="75" t="inlineStr">
        <is>
          <t>On Premises (Client/Server)</t>
        </is>
      </c>
      <c r="L101" s="75" t="n"/>
      <c r="M101" s="75" t="inlineStr">
        <is>
          <t>Yes</t>
        </is>
      </c>
      <c r="N101" s="75" t="n"/>
      <c r="O101" s="75" t="n"/>
      <c r="P101" s="75" t="n"/>
      <c r="Q101" s="75" t="inlineStr">
        <is>
          <t>Yes</t>
        </is>
      </c>
      <c r="R101" s="75" t="n"/>
      <c r="S101" s="75" t="inlineStr">
        <is>
          <t>Tony Miller</t>
        </is>
      </c>
      <c r="T101" s="76" t="n">
        <v>44606</v>
      </c>
      <c r="U101" s="75" t="inlineStr">
        <is>
          <t>Verified via Tony Miller</t>
        </is>
      </c>
      <c r="V101" s="76" t="n">
        <v>44606</v>
      </c>
      <c r="Y101" s="153" t="inlineStr">
        <is>
          <t>Global Inv - Mar 2026</t>
        </is>
      </c>
      <c r="Z101" s="153" t="inlineStr">
        <is>
          <t>FileMaker-based custom database application for contract management</t>
        </is>
      </c>
      <c r="AA101" s="153" t="inlineStr">
        <is>
          <t>IT Operations</t>
        </is>
      </c>
      <c r="AB101" s="121">
        <f>VLOOKUP(AA101,CategorySummaryTable[],2,FALSE)</f>
        <v/>
      </c>
    </row>
    <row r="102" ht="80" customHeight="1" s="142">
      <c r="B102" s="77" t="inlineStr">
        <is>
          <t>Computrac</t>
        </is>
      </c>
      <c r="C102" s="75" t="n"/>
      <c r="D102" s="75" t="inlineStr">
        <is>
          <t>Unknown</t>
        </is>
      </c>
      <c r="E102" s="75" t="n"/>
      <c r="F102" s="75" t="n"/>
      <c r="G102" s="75" t="n"/>
      <c r="H102" s="75" t="inlineStr">
        <is>
          <t>Puerto Rico</t>
        </is>
      </c>
      <c r="I102" s="75" t="n"/>
      <c r="J102" s="75" t="n"/>
      <c r="K102" s="75" t="n"/>
      <c r="L102" s="75" t="n"/>
      <c r="M102" s="75" t="n"/>
      <c r="N102" s="75" t="n"/>
      <c r="O102" s="75" t="n"/>
      <c r="P102" s="75" t="n"/>
      <c r="Q102" s="75" t="inlineStr">
        <is>
          <t>Y</t>
        </is>
      </c>
      <c r="R102" s="75" t="n"/>
      <c r="S102" s="75" t="n"/>
      <c r="T102" s="76" t="n"/>
      <c r="U102" s="75" t="n"/>
      <c r="V102" s="76" t="n"/>
      <c r="Y102" s="153" t="inlineStr">
        <is>
          <t>Global Inv - Mar 2026</t>
        </is>
      </c>
      <c r="Z102" s="153" t="inlineStr">
        <is>
          <t>Moisture/solids analyzer instrument software</t>
        </is>
      </c>
      <c r="AA102" s="153" t="inlineStr">
        <is>
          <t>Clinical Manufacturing Process</t>
        </is>
      </c>
      <c r="AB102" s="121">
        <f>VLOOKUP(AA102,CategorySummaryTable[],2,FALSE)</f>
        <v/>
      </c>
    </row>
    <row r="103" ht="64" customHeight="1" s="142">
      <c r="B103" s="77" t="inlineStr">
        <is>
          <t>Comsol</t>
        </is>
      </c>
      <c r="C103" s="75" t="n"/>
      <c r="D103" s="75" t="inlineStr">
        <is>
          <t>Unknown</t>
        </is>
      </c>
      <c r="E103" s="75" t="n"/>
      <c r="F103" s="75" t="n"/>
      <c r="G103" s="75" t="n"/>
      <c r="H103" s="75" t="inlineStr">
        <is>
          <t>Tullamore</t>
        </is>
      </c>
      <c r="I103" s="75" t="n"/>
      <c r="J103" s="75" t="n"/>
      <c r="K103" s="75" t="n"/>
      <c r="L103" s="75" t="n"/>
      <c r="M103" s="75" t="n"/>
      <c r="N103" s="75" t="n"/>
      <c r="O103" s="75" t="n"/>
      <c r="P103" s="75" t="n"/>
      <c r="Q103" s="75" t="n"/>
      <c r="R103" s="75" t="n"/>
      <c r="S103" s="75" t="n"/>
      <c r="T103" s="76" t="n"/>
      <c r="U103" s="75" t="inlineStr">
        <is>
          <t>Ask Paul James</t>
        </is>
      </c>
      <c r="V103" s="76" t="n"/>
      <c r="Y103" s="153" t="inlineStr">
        <is>
          <t>Global Inv - Mar 2026</t>
        </is>
      </c>
      <c r="Z103" s="153" t="inlineStr">
        <is>
          <t>Multiphysics simulation and finite element analysis software</t>
        </is>
      </c>
      <c r="AA103" s="153" t="inlineStr">
        <is>
          <t>Engineering</t>
        </is>
      </c>
      <c r="AB103" s="121">
        <f>VLOOKUP(AA103,CategorySummaryTable[],2,FALSE)</f>
        <v/>
      </c>
    </row>
    <row r="104" ht="80" customHeight="1" s="142">
      <c r="B104" s="82" t="inlineStr">
        <is>
          <t>Concur</t>
        </is>
      </c>
      <c r="C104" s="75" t="inlineStr">
        <is>
          <t>does not yet include reciept images</t>
        </is>
      </c>
      <c r="D104" s="75" t="inlineStr">
        <is>
          <t>Active</t>
        </is>
      </c>
      <c r="E104" s="75" t="n"/>
      <c r="F104" s="75" t="n"/>
      <c r="G104" s="75" t="n"/>
      <c r="H104" s="75" t="inlineStr">
        <is>
          <t>All US and OUS</t>
        </is>
      </c>
      <c r="I104" s="75" t="n"/>
      <c r="J104" s="75" t="inlineStr">
        <is>
          <t>Other</t>
        </is>
      </c>
      <c r="K104" s="75" t="inlineStr">
        <is>
          <t>SaaS</t>
        </is>
      </c>
      <c r="L104" s="75" t="n"/>
      <c r="M104" s="75" t="inlineStr">
        <is>
          <t>Yes</t>
        </is>
      </c>
      <c r="N104" s="75" t="n"/>
      <c r="O104" s="75" t="n"/>
      <c r="P104" s="75" t="n"/>
      <c r="Q104" s="75" t="inlineStr">
        <is>
          <t>N</t>
        </is>
      </c>
      <c r="R104" s="75" t="n"/>
      <c r="S104" s="75" t="n"/>
      <c r="T104" s="76" t="n"/>
      <c r="U104" s="75" t="inlineStr">
        <is>
          <t>Eileen Galager</t>
        </is>
      </c>
      <c r="V104" s="76" t="n"/>
      <c r="Y104" s="153" t="inlineStr">
        <is>
          <t>Global Inv - Mar 2026</t>
        </is>
      </c>
      <c r="Z104" s="153" t="inlineStr">
        <is>
          <t>Travel and expense management software</t>
        </is>
      </c>
      <c r="AA104" s="153" t="inlineStr">
        <is>
          <t>Finance</t>
        </is>
      </c>
      <c r="AB104" s="121">
        <f>VLOOKUP(AA104,CategorySummaryTable[],2,FALSE)</f>
        <v/>
      </c>
    </row>
    <row r="105" ht="64" customHeight="1" s="142">
      <c r="B105" s="90" t="inlineStr">
        <is>
          <t>Console Servers</t>
        </is>
      </c>
      <c r="C105" s="75" t="inlineStr">
        <is>
          <t>Microsoft server operating systems that are used by users with administrative or elevated permissions to perform related tasks. They are not an application.</t>
        </is>
      </c>
      <c r="D105" s="75" t="inlineStr">
        <is>
          <t>Active</t>
        </is>
      </c>
      <c r="E105" s="75" t="inlineStr">
        <is>
          <t>CDW?? Perle??Vague name listed</t>
        </is>
      </c>
      <c r="F105" s="75" t="n"/>
      <c r="G105" s="75" t="inlineStr">
        <is>
          <t>Enterprise</t>
        </is>
      </c>
      <c r="H105" s="75" t="n"/>
      <c r="I105" s="75" t="inlineStr">
        <is>
          <t>Yes</t>
        </is>
      </c>
      <c r="J105" s="75" t="n"/>
      <c r="K105" s="75" t="n"/>
      <c r="L105" s="75" t="n"/>
      <c r="M105" s="75" t="n"/>
      <c r="N105" s="75" t="n"/>
      <c r="O105" s="75" t="n"/>
      <c r="P105" s="75" t="n"/>
      <c r="Q105" s="75" t="inlineStr">
        <is>
          <t>No</t>
        </is>
      </c>
      <c r="R105" s="75" t="n"/>
      <c r="S105" s="75" t="inlineStr">
        <is>
          <t>Jeff Gersbach</t>
        </is>
      </c>
      <c r="T105" s="76" t="n">
        <v>44621</v>
      </c>
      <c r="U105" s="75" t="inlineStr">
        <is>
          <t>Mar 1, 2022 via Jeff Gersbach</t>
        </is>
      </c>
      <c r="V105" s="76" t="n">
        <v>44621</v>
      </c>
      <c r="Y105" s="153" t="inlineStr">
        <is>
          <t>Global Inv - Mar 2026</t>
        </is>
      </c>
      <c r="Z105" s="153" t="inlineStr">
        <is>
          <t>NA</t>
        </is>
      </c>
      <c r="AA105" s="153" t="inlineStr">
        <is>
          <t>IT Operations</t>
        </is>
      </c>
      <c r="AB105" s="121">
        <f>VLOOKUP(AA105,CategorySummaryTable[],2,FALSE)</f>
        <v/>
      </c>
    </row>
    <row r="106" ht="80" customHeight="1" s="142">
      <c r="B106" s="80" t="inlineStr">
        <is>
          <t>Constant Contact</t>
        </is>
      </c>
      <c r="C106" s="75" t="inlineStr">
        <is>
          <t>Marketing</t>
        </is>
      </c>
      <c r="D106" s="75" t="inlineStr">
        <is>
          <t>Unknown</t>
        </is>
      </c>
      <c r="E106" s="75" t="inlineStr">
        <is>
          <t>Constant Contact</t>
        </is>
      </c>
      <c r="F106" s="75" t="n"/>
      <c r="G106" s="75" t="n"/>
      <c r="H106" s="75" t="n"/>
      <c r="I106" s="75" t="n"/>
      <c r="J106" s="75" t="inlineStr">
        <is>
          <t>Other</t>
        </is>
      </c>
      <c r="K106" s="75" t="n"/>
      <c r="L106" s="75" t="n"/>
      <c r="M106" s="75" t="n"/>
      <c r="N106" s="75" t="n"/>
      <c r="O106" s="75" t="n"/>
      <c r="P106" s="75" t="n"/>
      <c r="Q106" s="75" t="n"/>
      <c r="R106" s="75" t="n"/>
      <c r="S106" s="75" t="n"/>
      <c r="T106" s="76" t="n"/>
      <c r="U106" s="75" t="inlineStr">
        <is>
          <t>Lauren Luchento or Brooke Siefert</t>
        </is>
      </c>
      <c r="V106" s="76" t="n"/>
      <c r="Y106" s="153" t="inlineStr">
        <is>
          <t>Global Inv - Mar 2026</t>
        </is>
      </c>
      <c r="Z106" s="153" t="inlineStr">
        <is>
          <t>Email marketing and online marketing software</t>
        </is>
      </c>
      <c r="AA106" s="153" t="inlineStr">
        <is>
          <t>Marketing</t>
        </is>
      </c>
      <c r="AB106" s="121">
        <f>VLOOKUP(AA106,CategorySummaryTable[],2,FALSE)</f>
        <v/>
      </c>
    </row>
    <row r="107" ht="64" customHeight="1" s="142">
      <c r="B107" s="80" t="inlineStr">
        <is>
          <t>Contact Center Express</t>
        </is>
      </c>
      <c r="C107" s="75" t="n"/>
      <c r="D107" s="75" t="inlineStr">
        <is>
          <t>Unknown</t>
        </is>
      </c>
      <c r="E107" s="75" t="inlineStr">
        <is>
          <t>Cisco?</t>
        </is>
      </c>
      <c r="F107" s="75" t="n"/>
      <c r="G107" s="75" t="n"/>
      <c r="H107" s="75" t="n"/>
      <c r="I107" s="75" t="n"/>
      <c r="J107" s="75" t="inlineStr">
        <is>
          <t>Other</t>
        </is>
      </c>
      <c r="K107" s="75" t="n"/>
      <c r="L107" s="75" t="n"/>
      <c r="M107" s="75" t="n"/>
      <c r="N107" s="75" t="n"/>
      <c r="O107" s="75" t="n"/>
      <c r="P107" s="75" t="n"/>
      <c r="Q107" s="75" t="n"/>
      <c r="R107" s="75" t="n"/>
      <c r="S107" s="75" t="n"/>
      <c r="T107" s="76" t="n"/>
      <c r="U107" s="75" t="inlineStr">
        <is>
          <t>Matt Rugierio</t>
        </is>
      </c>
      <c r="V107" s="76" t="n"/>
      <c r="Y107" s="153" t="inlineStr">
        <is>
          <t>Global Inv - Mar 2026</t>
        </is>
      </c>
      <c r="Z107" s="153" t="inlineStr">
        <is>
          <t>Contact center / customer interaction management software</t>
        </is>
      </c>
      <c r="AA107" s="153" t="inlineStr">
        <is>
          <t>IT Operations</t>
        </is>
      </c>
      <c r="AB107" s="121">
        <f>VLOOKUP(AA107,CategorySummaryTable[],2,FALSE)</f>
        <v/>
      </c>
    </row>
    <row r="108" ht="64" customHeight="1" s="142">
      <c r="B108" s="80" t="inlineStr">
        <is>
          <t>ControlPoint</t>
        </is>
      </c>
      <c r="C108" s="75" t="n"/>
      <c r="D108" s="75" t="inlineStr">
        <is>
          <t>Unknown</t>
        </is>
      </c>
      <c r="E108" s="75" t="n"/>
      <c r="F108" s="75" t="n"/>
      <c r="G108" s="75" t="n"/>
      <c r="H108" s="75" t="n"/>
      <c r="I108" s="75" t="n"/>
      <c r="J108" s="75" t="inlineStr">
        <is>
          <t>Other</t>
        </is>
      </c>
      <c r="K108" s="75" t="n"/>
      <c r="L108" s="75" t="n"/>
      <c r="M108" s="75" t="n"/>
      <c r="N108" s="75" t="n"/>
      <c r="O108" s="75" t="n"/>
      <c r="P108" s="75" t="n"/>
      <c r="Q108" s="75" t="n"/>
      <c r="R108" s="75" t="n"/>
      <c r="S108" s="75" t="n"/>
      <c r="T108" s="76" t="n"/>
      <c r="U108" s="75" t="inlineStr">
        <is>
          <t>Shaolin Liu</t>
        </is>
      </c>
      <c r="V108" s="76" t="n"/>
      <c r="Y108" s="153" t="inlineStr">
        <is>
          <t>Global Inv - Mar 2026</t>
        </is>
      </c>
      <c r="Z108" s="153" t="inlineStr">
        <is>
          <t>NA</t>
        </is>
      </c>
      <c r="AA108" s="153" t="inlineStr">
        <is>
          <t>IT Operations</t>
        </is>
      </c>
      <c r="AB108" s="121">
        <f>VLOOKUP(AA108,CategorySummaryTable[],2,FALSE)</f>
        <v/>
      </c>
    </row>
    <row r="109" ht="64" customHeight="1" s="142">
      <c r="B109" s="77" t="inlineStr">
        <is>
          <t>Corel Draw (Same as CorelDRAW Graphics Suite below)</t>
        </is>
      </c>
      <c r="C109" s="75" t="n"/>
      <c r="D109" s="75" t="inlineStr">
        <is>
          <t>Unknown</t>
        </is>
      </c>
      <c r="E109" s="75" t="inlineStr">
        <is>
          <t>Corel</t>
        </is>
      </c>
      <c r="F109" s="75" t="n"/>
      <c r="G109" s="75" t="n"/>
      <c r="H109" s="75" t="inlineStr">
        <is>
          <t>Zapopan, MX</t>
        </is>
      </c>
      <c r="I109" s="75" t="n"/>
      <c r="J109" s="75" t="n"/>
      <c r="K109" s="75" t="inlineStr">
        <is>
          <t>Desktop</t>
        </is>
      </c>
      <c r="L109" s="75" t="n"/>
      <c r="M109" s="75" t="n"/>
      <c r="N109" s="75" t="n"/>
      <c r="O109" s="75" t="n"/>
      <c r="P109" s="75" t="n"/>
      <c r="Q109" s="75" t="inlineStr">
        <is>
          <t>N</t>
        </is>
      </c>
      <c r="R109" s="75" t="n"/>
      <c r="S109" s="75" t="n"/>
      <c r="T109" s="76" t="n"/>
      <c r="U109" s="75" t="inlineStr">
        <is>
          <t>Jesus Mendez</t>
        </is>
      </c>
      <c r="V109" s="76" t="n"/>
      <c r="Y109" s="153" t="inlineStr">
        <is>
          <t>Global Inv - Mar 2026</t>
        </is>
      </c>
      <c r="Z109" s="153" t="inlineStr">
        <is>
          <t>Vector graphics design and illustration software</t>
        </is>
      </c>
      <c r="AA109" s="153" t="inlineStr">
        <is>
          <t>IT Operations</t>
        </is>
      </c>
      <c r="AB109" s="121">
        <f>VLOOKUP(AA109,CategorySummaryTable[],2,FALSE)</f>
        <v/>
      </c>
    </row>
    <row r="110" ht="64" customHeight="1" s="142">
      <c r="B110" s="77" t="inlineStr">
        <is>
          <t>CorelDRAW Graphics Suite</t>
        </is>
      </c>
      <c r="C110" s="75" t="n"/>
      <c r="D110" s="75" t="inlineStr">
        <is>
          <t>User machine names start with DMX and LMX</t>
        </is>
      </c>
      <c r="E110" s="75" t="inlineStr">
        <is>
          <t>Corel</t>
        </is>
      </c>
      <c r="F110" s="75" t="n"/>
      <c r="G110" s="75" t="n"/>
      <c r="H110" s="75" t="inlineStr">
        <is>
          <t>Cincinnati</t>
        </is>
      </c>
      <c r="I110" s="75" t="n"/>
      <c r="J110" s="75" t="n"/>
      <c r="K110" s="75" t="inlineStr">
        <is>
          <t>Desktop</t>
        </is>
      </c>
      <c r="L110" s="75" t="n"/>
      <c r="M110" s="75" t="n"/>
      <c r="N110" s="75" t="n"/>
      <c r="O110" s="75" t="n"/>
      <c r="P110" s="75" t="n"/>
      <c r="Q110" s="75" t="inlineStr">
        <is>
          <t>N</t>
        </is>
      </c>
      <c r="R110" s="75" t="n"/>
      <c r="S110" s="75" t="n"/>
      <c r="T110" s="76" t="n"/>
      <c r="U110" s="75" t="inlineStr">
        <is>
          <t>Michael Patterson</t>
        </is>
      </c>
      <c r="V110" s="76" t="n"/>
      <c r="Y110" s="153" t="inlineStr">
        <is>
          <t>Global Inv - Mar 2026</t>
        </is>
      </c>
      <c r="Z110" s="153" t="inlineStr">
        <is>
          <t>Vector graphics design and illustration suite</t>
        </is>
      </c>
      <c r="AA110" s="153" t="inlineStr">
        <is>
          <t>IT Operations</t>
        </is>
      </c>
      <c r="AB110" s="121">
        <f>VLOOKUP(AA110,CategorySummaryTable[],2,FALSE)</f>
        <v/>
      </c>
    </row>
    <row r="111" ht="64" customHeight="1" s="142">
      <c r="B111" s="94" t="inlineStr">
        <is>
          <t>Corp Dump server</t>
        </is>
      </c>
      <c r="C111" s="75" t="inlineStr">
        <is>
          <t>Not an application, but holds app install files.</t>
        </is>
      </c>
      <c r="D111" s="75" t="inlineStr">
        <is>
          <t>Unknown</t>
        </is>
      </c>
      <c r="E111" s="75" t="n"/>
      <c r="F111" s="75" t="n"/>
      <c r="G111" s="75" t="n"/>
      <c r="H111" s="75" t="inlineStr">
        <is>
          <t>Corporate</t>
        </is>
      </c>
      <c r="I111" s="75" t="inlineStr">
        <is>
          <t>Yes</t>
        </is>
      </c>
      <c r="J111" s="75" t="n"/>
      <c r="K111" s="75" t="n"/>
      <c r="L111" s="75" t="n"/>
      <c r="M111" s="75" t="n"/>
      <c r="N111" s="75" t="n"/>
      <c r="O111" s="75" t="n"/>
      <c r="P111" s="75" t="n"/>
      <c r="Q111" s="75" t="inlineStr">
        <is>
          <t>No</t>
        </is>
      </c>
      <c r="R111" s="75" t="n"/>
      <c r="S111" s="75" t="n"/>
      <c r="T111" s="76" t="n"/>
      <c r="U111" s="75" t="inlineStr">
        <is>
          <t>server?</t>
        </is>
      </c>
      <c r="V111" s="76" t="n"/>
      <c r="Y111" s="153" t="inlineStr">
        <is>
          <t>Global Inv - Mar 2026</t>
        </is>
      </c>
      <c r="Z111" s="153" t="inlineStr">
        <is>
          <t>NA</t>
        </is>
      </c>
      <c r="AA111" s="153" t="inlineStr">
        <is>
          <t>IT Operations</t>
        </is>
      </c>
      <c r="AB111" s="121">
        <f>VLOOKUP(AA111,CategorySummaryTable[],2,FALSE)</f>
        <v/>
      </c>
    </row>
    <row r="112" ht="64" customHeight="1" s="142">
      <c r="B112" s="77" t="inlineStr">
        <is>
          <t>Corporate Building Control System</t>
        </is>
      </c>
      <c r="C112" s="75" t="inlineStr">
        <is>
          <t>Used to control and monitor HVAC system on buildings 311/313/315/104.</t>
        </is>
      </c>
      <c r="D112" s="75" t="inlineStr">
        <is>
          <t>Unknown</t>
        </is>
      </c>
      <c r="E112" s="75" t="n"/>
      <c r="F112" s="75" t="n"/>
      <c r="G112" s="75" t="n"/>
      <c r="H112" s="75" t="inlineStr">
        <is>
          <t>Corporate</t>
        </is>
      </c>
      <c r="I112" s="75" t="inlineStr">
        <is>
          <t>Yes</t>
        </is>
      </c>
      <c r="J112" s="75" t="n"/>
      <c r="K112" s="75" t="inlineStr">
        <is>
          <t>On Premises (Client/Server)</t>
        </is>
      </c>
      <c r="L112" s="75" t="n"/>
      <c r="M112" s="75" t="n"/>
      <c r="N112" s="75" t="n"/>
      <c r="O112" s="75" t="n"/>
      <c r="P112" s="75" t="n"/>
      <c r="Q112" s="75" t="inlineStr">
        <is>
          <t>No</t>
        </is>
      </c>
      <c r="R112" s="75" t="n"/>
      <c r="S112" s="75" t="n"/>
      <c r="T112" s="76" t="n"/>
      <c r="U112" s="75" t="n"/>
      <c r="V112" s="76" t="n"/>
      <c r="Y112" s="153" t="inlineStr">
        <is>
          <t>Global Inv - Mar 2026</t>
        </is>
      </c>
      <c r="Z112" s="153" t="inlineStr">
        <is>
          <t>NA</t>
        </is>
      </c>
      <c r="AA112" s="153" t="inlineStr">
        <is>
          <t>Engineering</t>
        </is>
      </c>
      <c r="AB112" s="121">
        <f>VLOOKUP(AA112,CategorySummaryTable[],2,FALSE)</f>
        <v/>
      </c>
    </row>
    <row r="113" ht="80" customHeight="1" s="142">
      <c r="B113" s="80" t="inlineStr">
        <is>
          <t>Corporate Minitab License Server</t>
        </is>
      </c>
      <c r="C113" s="75" t="n"/>
      <c r="D113" s="75" t="inlineStr">
        <is>
          <t>Unknown</t>
        </is>
      </c>
      <c r="E113" s="75" t="inlineStr">
        <is>
          <t>Minitab</t>
        </is>
      </c>
      <c r="F113" s="75" t="n"/>
      <c r="G113" s="75" t="n"/>
      <c r="H113" s="75" t="inlineStr">
        <is>
          <t>Corporate</t>
        </is>
      </c>
      <c r="I113" s="75" t="inlineStr">
        <is>
          <t>Yes</t>
        </is>
      </c>
      <c r="J113" s="75" t="n"/>
      <c r="K113" s="75" t="n"/>
      <c r="L113" s="75" t="n"/>
      <c r="M113" s="75" t="n"/>
      <c r="N113" s="75" t="n"/>
      <c r="O113" s="75" t="n"/>
      <c r="P113" s="75" t="n"/>
      <c r="Q113" s="75" t="inlineStr">
        <is>
          <t>No</t>
        </is>
      </c>
      <c r="R113" s="75" t="n"/>
      <c r="S113" s="75" t="n"/>
      <c r="T113" s="76" t="n"/>
      <c r="U113" s="75" t="inlineStr">
        <is>
          <t>server?</t>
        </is>
      </c>
      <c r="V113" s="76" t="n"/>
      <c r="Y113" s="153" t="inlineStr">
        <is>
          <t>Global Inv - Mar 2026</t>
        </is>
      </c>
      <c r="Z113" s="153" t="inlineStr">
        <is>
          <t>License server for Minitab statistical analysis software</t>
        </is>
      </c>
      <c r="AA113" s="153" t="inlineStr">
        <is>
          <t>Data and Analytics</t>
        </is>
      </c>
      <c r="AB113" s="121">
        <f>VLOOKUP(AA113,CategorySummaryTable[],2,FALSE)</f>
        <v/>
      </c>
    </row>
    <row r="114" ht="64" customHeight="1" s="142">
      <c r="B114" s="77" t="inlineStr">
        <is>
          <t>Corporate Phone System (duplicate with Avaya?)</t>
        </is>
      </c>
      <c r="C114" s="75" t="inlineStr">
        <is>
          <t>Voice communication</t>
        </is>
      </c>
      <c r="D114" s="75" t="inlineStr">
        <is>
          <t>Unknown</t>
        </is>
      </c>
      <c r="E114" s="75" t="n"/>
      <c r="F114" s="75" t="n"/>
      <c r="G114" s="75" t="n"/>
      <c r="H114" s="75" t="inlineStr">
        <is>
          <t>Americas - Canada and US</t>
        </is>
      </c>
      <c r="I114" s="75" t="inlineStr">
        <is>
          <t>Yes</t>
        </is>
      </c>
      <c r="J114" s="75" t="n"/>
      <c r="K114" s="75" t="inlineStr">
        <is>
          <t>On Premises (Client/Server)</t>
        </is>
      </c>
      <c r="L114" s="75" t="n"/>
      <c r="M114" s="75" t="n"/>
      <c r="N114" s="75" t="n"/>
      <c r="O114" s="75" t="n"/>
      <c r="P114" s="75" t="n"/>
      <c r="Q114" s="75" t="inlineStr">
        <is>
          <t>No</t>
        </is>
      </c>
      <c r="R114" s="75" t="n"/>
      <c r="S114" s="75" t="n"/>
      <c r="T114" s="76" t="n"/>
      <c r="U114" s="75" t="n"/>
      <c r="V114" s="76" t="n"/>
      <c r="Y114" s="153" t="inlineStr">
        <is>
          <t>Global Inv - Mar 2026</t>
        </is>
      </c>
      <c r="Z114" s="153" t="inlineStr">
        <is>
          <t>NA</t>
        </is>
      </c>
      <c r="AA114" s="153" t="inlineStr">
        <is>
          <t>IT Operations</t>
        </is>
      </c>
      <c r="AB114" s="121">
        <f>VLOOKUP(AA114,CategorySummaryTable[],2,FALSE)</f>
        <v/>
      </c>
    </row>
    <row r="115" ht="64" customHeight="1" s="142">
      <c r="B115" s="80" t="inlineStr">
        <is>
          <t>Corporate SFTP Servers</t>
        </is>
      </c>
      <c r="C115" s="75" t="inlineStr">
        <is>
          <t>Internal and External servers supporting multiple transfers of data for different projects and tasks. Minimum impact during the weekend.</t>
        </is>
      </c>
      <c r="D115" s="75" t="inlineStr">
        <is>
          <t>Unknown</t>
        </is>
      </c>
      <c r="E115" s="75" t="inlineStr">
        <is>
          <t>Microsoft</t>
        </is>
      </c>
      <c r="F115" s="75" t="n"/>
      <c r="G115" s="75" t="n"/>
      <c r="H115" s="75" t="inlineStr">
        <is>
          <t>Corporate</t>
        </is>
      </c>
      <c r="I115" s="75" t="inlineStr">
        <is>
          <t>Yes</t>
        </is>
      </c>
      <c r="J115" s="75" t="n"/>
      <c r="K115" s="75" t="inlineStr">
        <is>
          <t>On Premises (Client/Server)</t>
        </is>
      </c>
      <c r="L115" s="75" t="n"/>
      <c r="M115" s="75" t="n"/>
      <c r="N115" s="75" t="n"/>
      <c r="O115" s="75" t="n"/>
      <c r="P115" s="75" t="n"/>
      <c r="Q115" s="75" t="inlineStr">
        <is>
          <t>No</t>
        </is>
      </c>
      <c r="R115" s="75" t="n"/>
      <c r="S115" s="75" t="n"/>
      <c r="T115" s="76" t="n"/>
      <c r="U115" s="75" t="inlineStr">
        <is>
          <t>server?</t>
        </is>
      </c>
      <c r="V115" s="76" t="n"/>
      <c r="Y115" s="153" t="inlineStr">
        <is>
          <t>Global Inv - Mar 2026</t>
        </is>
      </c>
      <c r="Z115" s="153" t="inlineStr">
        <is>
          <t>NA</t>
        </is>
      </c>
      <c r="AA115" s="153" t="inlineStr">
        <is>
          <t>IT Operations</t>
        </is>
      </c>
      <c r="AB115" s="121">
        <f>VLOOKUP(AA115,CategorySummaryTable[],2,FALSE)</f>
        <v/>
      </c>
    </row>
    <row r="116" ht="64" customHeight="1" s="142">
      <c r="B116" s="80" t="inlineStr">
        <is>
          <t>CrowdStrike</t>
        </is>
      </c>
      <c r="C116" s="87" t="n"/>
      <c r="D116" s="87" t="n"/>
      <c r="E116" s="88" t="n"/>
      <c r="F116" s="87" t="n"/>
      <c r="G116" s="88" t="n"/>
      <c r="H116" s="88" t="n"/>
      <c r="I116" s="88" t="n"/>
      <c r="J116" s="88" t="n"/>
      <c r="K116" s="88" t="n"/>
      <c r="L116" s="88" t="n"/>
      <c r="M116" s="88" t="n"/>
      <c r="N116" s="88" t="n"/>
      <c r="O116" s="88" t="n"/>
      <c r="P116" s="88" t="n"/>
      <c r="Q116" s="88" t="n"/>
      <c r="R116" s="88" t="n"/>
      <c r="S116" s="87" t="n"/>
      <c r="T116" s="89" t="n"/>
      <c r="U116" s="87" t="n"/>
      <c r="V116" s="89" t="n"/>
      <c r="Y116" s="153" t="inlineStr">
        <is>
          <t>Global Inv - Mar 2026</t>
        </is>
      </c>
      <c r="Z116" s="153" t="inlineStr">
        <is>
          <t>Endpoint protection and threat detection (EDR) security platform</t>
        </is>
      </c>
      <c r="AA116" s="153" t="inlineStr">
        <is>
          <t>Cyber Security</t>
        </is>
      </c>
      <c r="AB116" s="121">
        <f>VLOOKUP(AA116,CategorySummaryTable[],2,FALSE)</f>
        <v/>
      </c>
    </row>
    <row r="117" ht="80" customHeight="1" s="142">
      <c r="B117" s="95" t="inlineStr">
        <is>
          <t>Crystal Reports</t>
        </is>
      </c>
      <c r="C117" s="96" t="inlineStr">
        <is>
          <t>Marked for deletetion</t>
        </is>
      </c>
      <c r="D117" s="59" t="inlineStr">
        <is>
          <t>Decommissioned- but double check. Might still be in use by Knaaka for Trackwise</t>
        </is>
      </c>
      <c r="E117" s="96" t="inlineStr">
        <is>
          <t>SAP</t>
        </is>
      </c>
      <c r="F117" s="75" t="n"/>
      <c r="G117" s="75" t="n"/>
      <c r="H117" s="96" t="inlineStr">
        <is>
          <t>Cincinnati, Boston, Waltham</t>
        </is>
      </c>
      <c r="I117" s="96" t="n"/>
      <c r="J117" s="96" t="n"/>
      <c r="K117" s="96" t="inlineStr">
        <is>
          <t>Desktop</t>
        </is>
      </c>
      <c r="L117" s="75" t="n"/>
      <c r="M117" s="96" t="n"/>
      <c r="N117" s="75" t="n"/>
      <c r="O117" s="75" t="n"/>
      <c r="P117" s="97" t="n"/>
      <c r="Q117" s="96" t="inlineStr">
        <is>
          <t>No</t>
        </is>
      </c>
      <c r="R117" s="96" t="n"/>
      <c r="S117" s="59" t="inlineStr">
        <is>
          <t>Michael Patterson</t>
        </is>
      </c>
      <c r="T117" s="98" t="n">
        <v>44516</v>
      </c>
      <c r="U117" s="59" t="inlineStr">
        <is>
          <t>Nov 16, 2021 via Michael Patterson</t>
        </is>
      </c>
      <c r="V117" s="98" t="n"/>
      <c r="Y117" s="153" t="inlineStr">
        <is>
          <t>Global Inv - Mar 2026</t>
        </is>
      </c>
      <c r="Z117" s="153" t="inlineStr">
        <is>
          <t>Business intelligence and reporting software</t>
        </is>
      </c>
      <c r="AA117" s="153" t="inlineStr">
        <is>
          <t>Finance</t>
        </is>
      </c>
      <c r="AB117" s="121">
        <f>VLOOKUP(AA117,CategorySummaryTable[],2,FALSE)</f>
        <v/>
      </c>
    </row>
    <row r="118" ht="80" customHeight="1" s="142">
      <c r="B118" s="77" t="inlineStr">
        <is>
          <t>Cuddon LYO</t>
        </is>
      </c>
      <c r="C118" s="75" t="n"/>
      <c r="D118" s="75" t="inlineStr">
        <is>
          <t>Unknown</t>
        </is>
      </c>
      <c r="E118" s="75" t="n"/>
      <c r="F118" s="75" t="n"/>
      <c r="G118" s="75" t="n"/>
      <c r="H118" s="75" t="inlineStr">
        <is>
          <t>Puerto Rico</t>
        </is>
      </c>
      <c r="I118" s="75" t="n"/>
      <c r="J118" s="75" t="n"/>
      <c r="K118" s="75" t="n"/>
      <c r="L118" s="75" t="n"/>
      <c r="M118" s="75" t="n"/>
      <c r="N118" s="75" t="n"/>
      <c r="O118" s="75" t="n"/>
      <c r="P118" s="75" t="n"/>
      <c r="Q118" s="75" t="inlineStr">
        <is>
          <t>Y</t>
        </is>
      </c>
      <c r="R118" s="75" t="n"/>
      <c r="S118" s="75" t="n"/>
      <c r="T118" s="76" t="n"/>
      <c r="U118" s="75" t="n"/>
      <c r="V118" s="76" t="n"/>
      <c r="Y118" s="153" t="inlineStr">
        <is>
          <t>Global Inv - Mar 2026</t>
        </is>
      </c>
      <c r="Z118" s="153" t="inlineStr">
        <is>
          <t>NA</t>
        </is>
      </c>
      <c r="AA118" s="153" t="inlineStr">
        <is>
          <t>Manufacturing</t>
        </is>
      </c>
      <c r="AB118" s="121">
        <f>VLOOKUP(AA118,CategorySummaryTable[],2,FALSE)</f>
        <v/>
      </c>
    </row>
    <row r="119" ht="64" customHeight="1" s="142">
      <c r="B119" s="82" t="inlineStr">
        <is>
          <t>CURA</t>
        </is>
      </c>
      <c r="C119" s="75" t="inlineStr">
        <is>
          <t>3D printer software</t>
        </is>
      </c>
      <c r="D119" s="75" t="inlineStr">
        <is>
          <t>Unknown</t>
        </is>
      </c>
      <c r="E119" s="75" t="inlineStr">
        <is>
          <t>CURA</t>
        </is>
      </c>
      <c r="F119" s="75" t="n"/>
      <c r="G119" s="75" t="n"/>
      <c r="H119" s="75" t="inlineStr">
        <is>
          <t>Cincinnati</t>
        </is>
      </c>
      <c r="I119" s="75" t="inlineStr">
        <is>
          <t>Yes</t>
        </is>
      </c>
      <c r="J119" s="75" t="n"/>
      <c r="K119" s="75" t="n"/>
      <c r="L119" s="75" t="n"/>
      <c r="M119" s="75" t="n"/>
      <c r="N119" s="75" t="n"/>
      <c r="O119" s="75" t="n"/>
      <c r="P119" s="75" t="n"/>
      <c r="Q119" s="75" t="inlineStr">
        <is>
          <t>No</t>
        </is>
      </c>
      <c r="R119" s="75" t="n"/>
      <c r="S119" s="75" t="inlineStr">
        <is>
          <t>Michael Patterson</t>
        </is>
      </c>
      <c r="T119" s="76" t="n">
        <v>44516</v>
      </c>
      <c r="U119" s="75" t="inlineStr">
        <is>
          <t>Verified via Michael Patterson</t>
        </is>
      </c>
      <c r="V119" s="76" t="n">
        <v>44516</v>
      </c>
      <c r="Y119" s="153" t="inlineStr">
        <is>
          <t>Global Inv - Mar 2026</t>
        </is>
      </c>
      <c r="Z119" s="153" t="inlineStr">
        <is>
          <t>3D printing slicer software for preparing models for printing</t>
        </is>
      </c>
      <c r="AA119" s="153" t="inlineStr">
        <is>
          <t>Engineering</t>
        </is>
      </c>
      <c r="AB119" s="121">
        <f>VLOOKUP(AA119,CategorySummaryTable[],2,FALSE)</f>
        <v/>
      </c>
    </row>
    <row r="120" ht="80" customHeight="1" s="142">
      <c r="B120" s="77" t="inlineStr">
        <is>
          <t>CustomBone</t>
        </is>
      </c>
      <c r="C120" s="75" t="n"/>
      <c r="D120" s="75" t="inlineStr">
        <is>
          <t>Survey Complete with Improvement Opps</t>
        </is>
      </c>
      <c r="E120" s="75" t="n"/>
      <c r="F120" s="75" t="n"/>
      <c r="G120" s="75" t="n"/>
      <c r="H120" s="75" t="n"/>
      <c r="I120" s="75" t="n"/>
      <c r="J120" s="75" t="n"/>
      <c r="K120" s="75" t="n"/>
      <c r="L120" s="75" t="n"/>
      <c r="M120" s="75" t="n"/>
      <c r="N120" s="75" t="n"/>
      <c r="O120" s="75" t="n"/>
      <c r="P120" s="75" t="n"/>
      <c r="Q120" s="75" t="n"/>
      <c r="R120" s="75" t="n"/>
      <c r="S120" s="75" t="n"/>
      <c r="T120" s="76" t="n"/>
      <c r="U120" s="75" t="inlineStr">
        <is>
          <t>Graeme Loughlin</t>
        </is>
      </c>
      <c r="V120" s="76" t="n"/>
      <c r="Y120" s="153" t="inlineStr">
        <is>
          <t>Global Inv - Mar 2026</t>
        </is>
      </c>
      <c r="Z120" s="153" t="inlineStr">
        <is>
          <t>NA</t>
        </is>
      </c>
      <c r="AA120" s="153" t="inlineStr">
        <is>
          <t>Manufacturing</t>
        </is>
      </c>
      <c r="AB120" s="121">
        <f>VLOOKUP(AA120,CategorySummaryTable[],2,FALSE)</f>
        <v/>
      </c>
    </row>
    <row r="121" ht="80" customHeight="1" s="142">
      <c r="B121" s="80" t="inlineStr">
        <is>
          <t>CVent</t>
        </is>
      </c>
      <c r="C121" s="75" t="inlineStr">
        <is>
          <t>Virtual event management</t>
        </is>
      </c>
      <c r="D121" s="75" t="inlineStr">
        <is>
          <t>Active</t>
        </is>
      </c>
      <c r="E121" s="75" t="inlineStr">
        <is>
          <t>CVent</t>
        </is>
      </c>
      <c r="F121" s="75" t="n"/>
      <c r="G121" s="75" t="n"/>
      <c r="H121" s="75" t="n"/>
      <c r="I121" s="75" t="n"/>
      <c r="J121" s="75" t="inlineStr">
        <is>
          <t>Other</t>
        </is>
      </c>
      <c r="K121" s="75" t="n"/>
      <c r="L121" s="75" t="n"/>
      <c r="M121" s="75" t="n"/>
      <c r="N121" s="75" t="n"/>
      <c r="O121" s="75" t="n"/>
      <c r="P121" s="75" t="n"/>
      <c r="Q121" s="75" t="n"/>
      <c r="R121" s="75" t="n"/>
      <c r="S121" s="75" t="n"/>
      <c r="T121" s="76" t="n"/>
      <c r="U121" s="75" t="inlineStr">
        <is>
          <t>Lauren Luchento or David Goldsmith</t>
        </is>
      </c>
      <c r="V121" s="76" t="n"/>
      <c r="Y121" s="153" t="inlineStr">
        <is>
          <t>Global Inv - Mar 2026</t>
        </is>
      </c>
      <c r="Z121" s="153" t="inlineStr">
        <is>
          <t>Event management and registration software</t>
        </is>
      </c>
      <c r="AA121" s="153" t="inlineStr">
        <is>
          <t>Marketing</t>
        </is>
      </c>
      <c r="AB121" s="121">
        <f>VLOOKUP(AA121,CategorySummaryTable[],2,FALSE)</f>
        <v/>
      </c>
    </row>
    <row r="122" ht="80" customHeight="1" s="142">
      <c r="B122" s="77" t="inlineStr">
        <is>
          <t>Cwork 2011</t>
        </is>
      </c>
      <c r="C122" s="75" t="n"/>
      <c r="D122" s="75" t="inlineStr">
        <is>
          <t>Unknown</t>
        </is>
      </c>
      <c r="E122" s="75" t="n"/>
      <c r="F122" s="75" t="n"/>
      <c r="G122" s="75" t="n"/>
      <c r="H122" s="75" t="inlineStr">
        <is>
          <t>St. Aubin</t>
        </is>
      </c>
      <c r="I122" s="75" t="inlineStr">
        <is>
          <t>Yes</t>
        </is>
      </c>
      <c r="J122" s="75" t="n"/>
      <c r="K122" s="75" t="inlineStr">
        <is>
          <t>On Premises (Client/Server)</t>
        </is>
      </c>
      <c r="L122" s="75" t="n"/>
      <c r="M122" s="75" t="n"/>
      <c r="N122" s="75" t="n"/>
      <c r="O122" s="75" t="n"/>
      <c r="P122" s="75" t="n"/>
      <c r="Q122" s="75" t="n"/>
      <c r="R122" s="75" t="n"/>
      <c r="S122" s="75" t="n"/>
      <c r="T122" s="76" t="n"/>
      <c r="U122" s="75" t="n"/>
      <c r="V122" s="76" t="n"/>
      <c r="Y122" s="153" t="inlineStr">
        <is>
          <t>Global Inv - Mar 2026</t>
        </is>
      </c>
      <c r="Z122" s="153" t="inlineStr">
        <is>
          <t>NA</t>
        </is>
      </c>
      <c r="AA122" s="153" t="inlineStr">
        <is>
          <t>Manufacturing</t>
        </is>
      </c>
      <c r="AB122" s="121">
        <f>VLOOKUP(AA122,CategorySummaryTable[],2,FALSE)</f>
        <v/>
      </c>
    </row>
    <row r="123" ht="80" customHeight="1" s="142">
      <c r="B123" s="80" t="inlineStr">
        <is>
          <t>Cyber Metrics - Faciliworks - Calibration</t>
        </is>
      </c>
      <c r="C123" s="75" t="n"/>
      <c r="D123" s="75" t="inlineStr">
        <is>
          <t>Unknown</t>
        </is>
      </c>
      <c r="E123" s="75" t="inlineStr">
        <is>
          <t>Maintanence Management</t>
        </is>
      </c>
      <c r="F123" s="75" t="n"/>
      <c r="G123" s="75" t="n"/>
      <c r="H123" s="75" t="n"/>
      <c r="I123" s="75" t="n"/>
      <c r="J123" s="75" t="inlineStr">
        <is>
          <t>Other</t>
        </is>
      </c>
      <c r="K123" s="75" t="n"/>
      <c r="L123" s="75" t="n"/>
      <c r="M123" s="75" t="n"/>
      <c r="N123" s="75" t="n"/>
      <c r="O123" s="75" t="n"/>
      <c r="P123" s="75" t="n"/>
      <c r="Q123" s="75" t="n"/>
      <c r="R123" s="75" t="n"/>
      <c r="S123" s="75" t="n"/>
      <c r="T123" s="76" t="n"/>
      <c r="U123" s="75" t="inlineStr">
        <is>
          <t>Karen Furlong</t>
        </is>
      </c>
      <c r="V123" s="76" t="n"/>
      <c r="Y123" s="153" t="inlineStr">
        <is>
          <t>Global Inv - Mar 2026</t>
        </is>
      </c>
      <c r="Z123" s="153" t="inlineStr">
        <is>
          <t>Calibration and maintenance management (CMMS) software</t>
        </is>
      </c>
      <c r="AA123" s="153" t="inlineStr">
        <is>
          <t>Quality and Validation</t>
        </is>
      </c>
      <c r="AB123" s="121">
        <f>VLOOKUP(AA123,CategorySummaryTable[],2,FALSE)</f>
        <v/>
      </c>
    </row>
    <row r="124" ht="64" customHeight="1" s="142">
      <c r="B124" s="80" t="inlineStr">
        <is>
          <t>CyberLink PowerDVD</t>
        </is>
      </c>
      <c r="C124" s="75" t="inlineStr">
        <is>
          <t>update to the popular PowerDVD series with support for DVD playback, including all of the codecs Windows requires to play DVD</t>
        </is>
      </c>
      <c r="D124" s="75" t="inlineStr">
        <is>
          <t>Unknown</t>
        </is>
      </c>
      <c r="E124" s="75" t="inlineStr">
        <is>
          <t>CyberLink</t>
        </is>
      </c>
      <c r="F124" s="75" t="n"/>
      <c r="G124" s="75" t="n"/>
      <c r="H124" s="75" t="n"/>
      <c r="I124" s="75" t="n"/>
      <c r="J124" s="75" t="inlineStr">
        <is>
          <t>Other</t>
        </is>
      </c>
      <c r="K124" s="75" t="n"/>
      <c r="L124" s="75" t="n"/>
      <c r="M124" s="75" t="n"/>
      <c r="N124" s="75" t="n"/>
      <c r="O124" s="75" t="n"/>
      <c r="P124" s="75" t="n"/>
      <c r="Q124" s="75" t="n"/>
      <c r="R124" s="75" t="n"/>
      <c r="S124" s="75" t="n"/>
      <c r="T124" s="76" t="n"/>
      <c r="U124" s="75" t="inlineStr">
        <is>
          <t>Federico Argento</t>
        </is>
      </c>
      <c r="V124" s="76" t="n"/>
      <c r="Y124" s="153" t="inlineStr">
        <is>
          <t>Global Inv - Mar 2026</t>
        </is>
      </c>
      <c r="Z124" s="153" t="inlineStr">
        <is>
          <t>Media player software for DVD/Blu-ray and video playback</t>
        </is>
      </c>
      <c r="AA124" s="153" t="inlineStr">
        <is>
          <t>IT Operations</t>
        </is>
      </c>
      <c r="AB124" s="121">
        <f>VLOOKUP(AA124,CategorySummaryTable[],2,FALSE)</f>
        <v/>
      </c>
    </row>
    <row r="125" ht="64" customHeight="1" s="142">
      <c r="B125" s="99" t="inlineStr">
        <is>
          <t>Data Loss Prevention (DLP)</t>
        </is>
      </c>
      <c r="C125" s="75" t="inlineStr">
        <is>
          <t>Used to monitor and track the flow of sensitive/confidential data. Mainly used for GDPR. Active, but will be replaced by Casb</t>
        </is>
      </c>
      <c r="D125" s="75" t="inlineStr">
        <is>
          <t>Unknown</t>
        </is>
      </c>
      <c r="E125" s="75" t="inlineStr">
        <is>
          <t>Symantec + BroadCom</t>
        </is>
      </c>
      <c r="F125" s="75" t="n"/>
      <c r="G125" s="75" t="inlineStr">
        <is>
          <t>Enterprise</t>
        </is>
      </c>
      <c r="H125" s="75" t="n"/>
      <c r="I125" s="75" t="inlineStr">
        <is>
          <t>Yes</t>
        </is>
      </c>
      <c r="J125" s="75" t="n"/>
      <c r="K125" s="75" t="inlineStr">
        <is>
          <t>On Premises (Client/Server)</t>
        </is>
      </c>
      <c r="L125" s="75" t="n"/>
      <c r="M125" s="75" t="inlineStr">
        <is>
          <t>Not SaaS</t>
        </is>
      </c>
      <c r="N125" s="75" t="n"/>
      <c r="O125" s="75" t="n"/>
      <c r="P125" s="75" t="n"/>
      <c r="Q125" s="75" t="inlineStr">
        <is>
          <t>No</t>
        </is>
      </c>
      <c r="R125" s="75" t="n"/>
      <c r="S125" s="75" t="inlineStr">
        <is>
          <t>Trevor Very</t>
        </is>
      </c>
      <c r="T125" s="76" t="n">
        <v>44545</v>
      </c>
      <c r="U125" s="75" t="inlineStr">
        <is>
          <t>Verified via Trevor Very</t>
        </is>
      </c>
      <c r="V125" s="76" t="n">
        <v>44545</v>
      </c>
      <c r="Y125" s="153" t="inlineStr">
        <is>
          <t>Global Inv - Mar 2026</t>
        </is>
      </c>
      <c r="Z125" s="153" t="inlineStr">
        <is>
          <t>Data loss prevention (DLP) security software</t>
        </is>
      </c>
      <c r="AA125" s="153" t="inlineStr">
        <is>
          <t>Cyber Security</t>
        </is>
      </c>
      <c r="AB125" s="121">
        <f>VLOOKUP(AA125,CategorySummaryTable[],2,FALSE)</f>
        <v/>
      </c>
    </row>
    <row r="126" ht="80" customHeight="1" s="142">
      <c r="B126" s="77" t="inlineStr">
        <is>
          <t>Data Stage</t>
        </is>
      </c>
      <c r="C126" s="75" t="n"/>
      <c r="D126" s="75" t="inlineStr">
        <is>
          <t>Survey Complete with Improvement Opps</t>
        </is>
      </c>
      <c r="E126" s="75" t="inlineStr">
        <is>
          <t>IBM</t>
        </is>
      </c>
      <c r="F126" s="75" t="n"/>
      <c r="G126" s="75" t="n"/>
      <c r="H126" s="75" t="inlineStr">
        <is>
          <t>Plainsboro Corp</t>
        </is>
      </c>
      <c r="I126" s="75" t="inlineStr">
        <is>
          <t>Yes</t>
        </is>
      </c>
      <c r="J126" s="75" t="n"/>
      <c r="K126" s="75" t="inlineStr">
        <is>
          <t>On Premises (Client/Server)</t>
        </is>
      </c>
      <c r="L126" s="75" t="n"/>
      <c r="M126" s="75" t="n"/>
      <c r="N126" s="75" t="n"/>
      <c r="O126" s="75" t="n"/>
      <c r="P126" s="75" t="n"/>
      <c r="Q126" s="75" t="inlineStr">
        <is>
          <t>N</t>
        </is>
      </c>
      <c r="R126" s="75" t="n"/>
      <c r="S126" s="75" t="n"/>
      <c r="T126" s="76" t="n"/>
      <c r="U126" s="75" t="inlineStr">
        <is>
          <t>Viral Thakker? Pending decommission. Ask John O'Callaghan</t>
        </is>
      </c>
      <c r="V126" s="76" t="n"/>
      <c r="Y126" s="153" t="inlineStr">
        <is>
          <t>Global Inv - Mar 2026</t>
        </is>
      </c>
      <c r="Z126" s="153" t="inlineStr">
        <is>
          <t>Data integration and ETL software</t>
        </is>
      </c>
      <c r="AA126" s="153" t="inlineStr">
        <is>
          <t>Data and Analytics</t>
        </is>
      </c>
      <c r="AB126" s="121">
        <f>VLOOKUP(AA126,CategorySummaryTable[],2,FALSE)</f>
        <v/>
      </c>
    </row>
    <row r="127" ht="64" customHeight="1" s="142">
      <c r="B127" s="57" t="inlineStr">
        <is>
          <t>DataLoad Pro</t>
        </is>
      </c>
      <c r="C127" s="75" t="inlineStr">
        <is>
          <t>Tool to batch load data into Oracle</t>
        </is>
      </c>
      <c r="D127" s="75" t="inlineStr">
        <is>
          <t>Active</t>
        </is>
      </c>
      <c r="E127" s="75" t="inlineStr">
        <is>
          <t>Oracle + DataLoad (JD Stuart Ltd)</t>
        </is>
      </c>
      <c r="F127" s="75" t="n"/>
      <c r="G127" s="75" t="n"/>
      <c r="H127" s="75" t="inlineStr">
        <is>
          <t>Cincinnati</t>
        </is>
      </c>
      <c r="I127" s="75" t="inlineStr">
        <is>
          <t>Yes</t>
        </is>
      </c>
      <c r="J127" s="75" t="n"/>
      <c r="K127" s="75" t="inlineStr">
        <is>
          <t>Desktop</t>
        </is>
      </c>
      <c r="L127" s="75" t="n"/>
      <c r="M127" s="75" t="n"/>
      <c r="N127" s="75" t="n"/>
      <c r="O127" s="75" t="n"/>
      <c r="P127" s="75" t="n"/>
      <c r="Q127" s="75" t="inlineStr">
        <is>
          <t>No</t>
        </is>
      </c>
      <c r="R127" s="75" t="n"/>
      <c r="S127" s="75" t="inlineStr">
        <is>
          <t>Michael Patterson</t>
        </is>
      </c>
      <c r="T127" s="76" t="n">
        <v>44516</v>
      </c>
      <c r="U127" s="75" t="inlineStr">
        <is>
          <t>Verified via Michael Patterson</t>
        </is>
      </c>
      <c r="V127" s="76" t="n">
        <v>44516</v>
      </c>
      <c r="Y127" s="153" t="inlineStr">
        <is>
          <t>Global Inv - Mar 2026</t>
        </is>
      </c>
      <c r="Z127" s="153" t="inlineStr">
        <is>
          <t>Tool for batch loading/automating data entry into Oracle applications</t>
        </is>
      </c>
      <c r="AA127" s="153" t="inlineStr">
        <is>
          <t>IT Operations</t>
        </is>
      </c>
      <c r="AB127" s="121">
        <f>VLOOKUP(AA127,CategorySummaryTable[],2,FALSE)</f>
        <v/>
      </c>
    </row>
    <row r="128" ht="80" customHeight="1" s="142">
      <c r="B128" s="77" t="inlineStr">
        <is>
          <t>datatrace (DataLogger)</t>
        </is>
      </c>
      <c r="C128" s="75" t="n"/>
      <c r="D128" s="75" t="inlineStr">
        <is>
          <t>Unknown</t>
        </is>
      </c>
      <c r="E128" s="75" t="n"/>
      <c r="F128" s="75" t="n"/>
      <c r="G128" s="75" t="n"/>
      <c r="H128" s="75" t="inlineStr">
        <is>
          <t>Puerto Rico</t>
        </is>
      </c>
      <c r="I128" s="75" t="n"/>
      <c r="J128" s="75" t="n"/>
      <c r="K128" s="75" t="inlineStr">
        <is>
          <t>Desktop</t>
        </is>
      </c>
      <c r="L128" s="75" t="n"/>
      <c r="M128" s="75" t="n"/>
      <c r="N128" s="75" t="n"/>
      <c r="O128" s="75" t="n"/>
      <c r="P128" s="75" t="n"/>
      <c r="Q128" s="75" t="inlineStr">
        <is>
          <t>Y</t>
        </is>
      </c>
      <c r="R128" s="75" t="n"/>
      <c r="S128" s="75" t="n"/>
      <c r="T128" s="76" t="n"/>
      <c r="U128" s="75" t="n"/>
      <c r="V128" s="76" t="n"/>
      <c r="Y128" s="153" t="inlineStr">
        <is>
          <t>Global Inv - Mar 2026</t>
        </is>
      </c>
      <c r="Z128" s="153" t="inlineStr">
        <is>
          <t>Data logging hardware/software for temperature and process validation</t>
        </is>
      </c>
      <c r="AA128" s="153" t="inlineStr">
        <is>
          <t>Quality and Validation</t>
        </is>
      </c>
      <c r="AB128" s="121">
        <f>VLOOKUP(AA128,CategorySummaryTable[],2,FALSE)</f>
        <v/>
      </c>
    </row>
    <row r="129" ht="80" customHeight="1" s="142">
      <c r="B129" s="56" t="inlineStr">
        <is>
          <t>DATEV</t>
        </is>
      </c>
      <c r="C129" s="75" t="n"/>
      <c r="D129" s="75" t="inlineStr">
        <is>
          <t>Unknown</t>
        </is>
      </c>
      <c r="E129" s="75" t="n"/>
      <c r="F129" s="75" t="n"/>
      <c r="G129" s="75" t="n"/>
      <c r="H129" s="75" t="inlineStr">
        <is>
          <t>RAT</t>
        </is>
      </c>
      <c r="I129" s="75" t="inlineStr">
        <is>
          <t>Yes</t>
        </is>
      </c>
      <c r="J129" s="75" t="n"/>
      <c r="K129" s="75" t="inlineStr">
        <is>
          <t>On Premises (Client/Server)</t>
        </is>
      </c>
      <c r="L129" s="75" t="n"/>
      <c r="M129" s="75" t="n"/>
      <c r="N129" s="75" t="n"/>
      <c r="O129" s="75" t="n"/>
      <c r="P129" s="75" t="n"/>
      <c r="Q129" s="75" t="inlineStr">
        <is>
          <t>N</t>
        </is>
      </c>
      <c r="R129" s="75" t="n"/>
      <c r="S129" s="75" t="n"/>
      <c r="T129" s="76" t="n"/>
      <c r="U129" s="75" t="n"/>
      <c r="V129" s="76" t="n"/>
      <c r="Y129" s="153" t="inlineStr">
        <is>
          <t>Global Inv - Mar 2026</t>
        </is>
      </c>
      <c r="Z129" s="153" t="inlineStr">
        <is>
          <t>Accounting, tax and business management software (Germany)</t>
        </is>
      </c>
      <c r="AA129" s="153" t="inlineStr">
        <is>
          <t>Finance</t>
        </is>
      </c>
      <c r="AB129" s="121">
        <f>VLOOKUP(AA129,CategorySummaryTable[],2,FALSE)</f>
        <v/>
      </c>
    </row>
    <row r="130" ht="80" customHeight="1" s="142">
      <c r="B130" s="80" t="inlineStr">
        <is>
          <t>Definitive Healthcare</t>
        </is>
      </c>
      <c r="C130" s="75" t="inlineStr">
        <is>
          <t>transforms data, analytics and expertise into healthcare commercial intelligence</t>
        </is>
      </c>
      <c r="D130" s="75" t="inlineStr">
        <is>
          <t>Unknown</t>
        </is>
      </c>
      <c r="E130" s="75" t="inlineStr">
        <is>
          <t>Definitive Healthcare</t>
        </is>
      </c>
      <c r="F130" s="75" t="n"/>
      <c r="G130" s="75" t="n"/>
      <c r="H130" s="75" t="n"/>
      <c r="I130" s="75" t="n"/>
      <c r="J130" s="75" t="n"/>
      <c r="K130" s="75" t="n"/>
      <c r="L130" s="75" t="n"/>
      <c r="M130" s="75" t="n"/>
      <c r="N130" s="75" t="n"/>
      <c r="O130" s="75" t="n"/>
      <c r="P130" s="75" t="n"/>
      <c r="Q130" s="75" t="n"/>
      <c r="R130" s="75" t="n"/>
      <c r="S130" s="75" t="n"/>
      <c r="T130" s="76" t="n"/>
      <c r="U130" s="75" t="inlineStr">
        <is>
          <t>Viral Thakker. Or Amit Singhal</t>
        </is>
      </c>
      <c r="V130" s="76" t="n"/>
      <c r="Y130" s="153" t="inlineStr">
        <is>
          <t>Global Inv - Mar 2026</t>
        </is>
      </c>
      <c r="Z130" s="153" t="inlineStr">
        <is>
          <t>Healthcare commercial intelligence data and analytics platform</t>
        </is>
      </c>
      <c r="AA130" s="153" t="inlineStr">
        <is>
          <t>Data and Analytics</t>
        </is>
      </c>
      <c r="AB130" s="121">
        <f>VLOOKUP(AA130,CategorySummaryTable[],2,FALSE)</f>
        <v/>
      </c>
    </row>
    <row r="131" ht="64" customHeight="1" s="142">
      <c r="B131" s="77" t="inlineStr">
        <is>
          <t>Dell OpenManage</t>
        </is>
      </c>
      <c r="C131" s="75" t="inlineStr">
        <is>
          <t>Dell Openmange server to support Dell hardware (servers)</t>
        </is>
      </c>
      <c r="D131" s="75" t="inlineStr">
        <is>
          <t>Unknown</t>
        </is>
      </c>
      <c r="E131" s="75" t="inlineStr">
        <is>
          <t>Dell</t>
        </is>
      </c>
      <c r="F131" s="75" t="n"/>
      <c r="G131" s="75" t="n"/>
      <c r="H131" s="75" t="n"/>
      <c r="I131" s="75" t="inlineStr">
        <is>
          <t>Yes</t>
        </is>
      </c>
      <c r="J131" s="75" t="n"/>
      <c r="K131" s="75" t="inlineStr">
        <is>
          <t>On Premises (Client/Server)</t>
        </is>
      </c>
      <c r="L131" s="75" t="n"/>
      <c r="M131" s="75" t="n"/>
      <c r="N131" s="75" t="n"/>
      <c r="O131" s="75" t="n"/>
      <c r="P131" s="75" t="n"/>
      <c r="Q131" s="75" t="inlineStr">
        <is>
          <t>No</t>
        </is>
      </c>
      <c r="R131" s="75" t="n"/>
      <c r="S131" s="75" t="n"/>
      <c r="T131" s="76" t="n"/>
      <c r="U131" s="75" t="inlineStr">
        <is>
          <t>server?</t>
        </is>
      </c>
      <c r="V131" s="76" t="n"/>
      <c r="Y131" s="153" t="inlineStr">
        <is>
          <t>Global Inv - Mar 2026</t>
        </is>
      </c>
      <c r="Z131" s="153" t="inlineStr">
        <is>
          <t>Server hardware systems management software for Dell servers</t>
        </is>
      </c>
      <c r="AA131" s="153" t="inlineStr">
        <is>
          <t>IT Operations</t>
        </is>
      </c>
      <c r="AB131" s="121">
        <f>VLOOKUP(AA131,CategorySummaryTable[],2,FALSE)</f>
        <v/>
      </c>
    </row>
    <row r="132" ht="96" customHeight="1" s="142">
      <c r="B132" s="80" t="inlineStr">
        <is>
          <t>Demand Works Smoothie</t>
        </is>
      </c>
      <c r="C132" s="75" t="inlineStr">
        <is>
          <t>Extract data from Oracle to load into Demand Works for demand planning.</t>
        </is>
      </c>
      <c r="D132" s="75" t="inlineStr">
        <is>
          <t>Unknown</t>
        </is>
      </c>
      <c r="E132" s="75" t="inlineStr">
        <is>
          <t>Demand Works</t>
        </is>
      </c>
      <c r="F132" s="75" t="n"/>
      <c r="G132" s="75" t="n"/>
      <c r="H132" s="75" t="inlineStr">
        <is>
          <t>Americas - Austin, TX</t>
        </is>
      </c>
      <c r="I132" s="75" t="inlineStr">
        <is>
          <t>Yes</t>
        </is>
      </c>
      <c r="J132" s="75" t="n"/>
      <c r="K132" s="75" t="inlineStr">
        <is>
          <t>On Premises (Client/Server)</t>
        </is>
      </c>
      <c r="L132" s="75" t="n"/>
      <c r="M132" s="75" t="n"/>
      <c r="N132" s="75" t="n"/>
      <c r="O132" s="75" t="n"/>
      <c r="P132" s="75" t="n"/>
      <c r="Q132" s="75" t="inlineStr">
        <is>
          <t>No</t>
        </is>
      </c>
      <c r="R132" s="75" t="n"/>
      <c r="S132" s="75" t="n"/>
      <c r="T132" s="76" t="n"/>
      <c r="U132" s="75" t="n"/>
      <c r="V132" s="76" t="n"/>
      <c r="W132" s="74" t="inlineStr">
        <is>
          <t xml:space="preserve">Demand Forecaste software for Ortho products </t>
        </is>
      </c>
      <c r="Y132" s="153" t="inlineStr">
        <is>
          <t>Global Inv - Mar 2026</t>
        </is>
      </c>
      <c r="Z132" s="153" t="inlineStr">
        <is>
          <t>Demand planning, forecasting and S&amp;OP software</t>
        </is>
      </c>
      <c r="AA132" s="153" t="inlineStr">
        <is>
          <t>Supply Chain and Distribution</t>
        </is>
      </c>
      <c r="AB132" s="121">
        <f>VLOOKUP(AA132,CategorySummaryTable[],2,FALSE)</f>
        <v/>
      </c>
    </row>
    <row r="133" ht="80" customHeight="1" s="142">
      <c r="B133" s="77" t="inlineStr">
        <is>
          <t>Deutshe Bank - Oracle FTP File Transfer</t>
        </is>
      </c>
      <c r="C133" s="75" t="n"/>
      <c r="D133" s="75" t="inlineStr">
        <is>
          <t>Survey Complete with Improvement Opps</t>
        </is>
      </c>
      <c r="E133" s="75" t="inlineStr">
        <is>
          <t>Deutsche Bank</t>
        </is>
      </c>
      <c r="F133" s="75" t="n"/>
      <c r="G133" s="75" t="inlineStr">
        <is>
          <t>Enterprise</t>
        </is>
      </c>
      <c r="H133" s="75" t="n"/>
      <c r="I133" s="75" t="inlineStr">
        <is>
          <t>Yes</t>
        </is>
      </c>
      <c r="J133" s="75" t="n"/>
      <c r="K133" s="75" t="inlineStr">
        <is>
          <t>On Premises (Client/Server)</t>
        </is>
      </c>
      <c r="L133" s="75" t="n"/>
      <c r="M133" s="75" t="n"/>
      <c r="N133" s="75" t="n"/>
      <c r="O133" s="75" t="n"/>
      <c r="P133" s="75" t="n"/>
      <c r="Q133" s="75" t="n"/>
      <c r="R133" s="75" t="n"/>
      <c r="S133" s="75" t="n"/>
      <c r="T133" s="76" t="n"/>
      <c r="U133" s="75" t="n"/>
      <c r="V133" s="76" t="n"/>
      <c r="Y133" s="153" t="inlineStr">
        <is>
          <t>Global Inv - Mar 2026</t>
        </is>
      </c>
      <c r="Z133" s="153" t="inlineStr">
        <is>
          <t>NA</t>
        </is>
      </c>
      <c r="AA133" s="153" t="inlineStr">
        <is>
          <t>Finance</t>
        </is>
      </c>
      <c r="AB133" s="121">
        <f>VLOOKUP(AA133,CategorySummaryTable[],2,FALSE)</f>
        <v/>
      </c>
    </row>
    <row r="134" ht="64" customHeight="1" s="142">
      <c r="B134" s="80" t="inlineStr">
        <is>
          <t>DHCP Server</t>
        </is>
      </c>
      <c r="C134" s="75" t="inlineStr">
        <is>
          <t>Minimum impact during the weekend. Not an application. Pair of servers that host various DHCP segments in Corp</t>
        </is>
      </c>
      <c r="D134" s="75" t="inlineStr">
        <is>
          <t>Unknown</t>
        </is>
      </c>
      <c r="E134" s="75" t="n"/>
      <c r="F134" s="75" t="n"/>
      <c r="G134" s="75" t="n"/>
      <c r="H134" s="75" t="inlineStr">
        <is>
          <t>Corporate</t>
        </is>
      </c>
      <c r="I134" s="75" t="inlineStr">
        <is>
          <t>Yes</t>
        </is>
      </c>
      <c r="J134" s="75" t="n"/>
      <c r="K134" s="75" t="n"/>
      <c r="L134" s="75" t="n"/>
      <c r="M134" s="75" t="n"/>
      <c r="N134" s="75" t="n"/>
      <c r="O134" s="75" t="n"/>
      <c r="P134" s="75" t="n"/>
      <c r="Q134" s="75" t="inlineStr">
        <is>
          <t>No</t>
        </is>
      </c>
      <c r="R134" s="75" t="n"/>
      <c r="S134" s="75" t="n"/>
      <c r="T134" s="76" t="n"/>
      <c r="U134" s="75" t="inlineStr">
        <is>
          <t>server?</t>
        </is>
      </c>
      <c r="V134" s="76" t="n"/>
      <c r="Y134" s="153" t="inlineStr">
        <is>
          <t>Global Inv - Mar 2026</t>
        </is>
      </c>
      <c r="Z134" s="153" t="inlineStr">
        <is>
          <t>NA</t>
        </is>
      </c>
      <c r="AA134" s="153" t="inlineStr">
        <is>
          <t>IT Operations</t>
        </is>
      </c>
      <c r="AB134" s="121">
        <f>VLOOKUP(AA134,CategorySummaryTable[],2,FALSE)</f>
        <v/>
      </c>
    </row>
    <row r="135" ht="64" customHeight="1" s="142">
      <c r="B135" s="80" t="inlineStr">
        <is>
          <t>Digital Defense</t>
        </is>
      </c>
      <c r="C135" s="75" t="inlineStr">
        <is>
          <t>SaaS Solution 0 External Vulnerability scanner</t>
        </is>
      </c>
      <c r="D135" s="75" t="inlineStr">
        <is>
          <t>Unknown</t>
        </is>
      </c>
      <c r="E135" s="75" t="n"/>
      <c r="F135" s="75" t="n"/>
      <c r="G135" s="75" t="n"/>
      <c r="H135" s="75" t="n"/>
      <c r="I135" s="75" t="n"/>
      <c r="J135" s="75" t="inlineStr">
        <is>
          <t>Other</t>
        </is>
      </c>
      <c r="K135" s="75" t="n"/>
      <c r="L135" s="75" t="n"/>
      <c r="M135" s="75" t="n"/>
      <c r="N135" s="75" t="n"/>
      <c r="O135" s="75" t="n"/>
      <c r="P135" s="75" t="n"/>
      <c r="Q135" s="75" t="n"/>
      <c r="R135" s="75" t="n"/>
      <c r="S135" s="75" t="n"/>
      <c r="T135" s="76" t="n"/>
      <c r="U135" s="75" t="inlineStr">
        <is>
          <t>Matt Cerny (Archana)</t>
        </is>
      </c>
      <c r="V135" s="76" t="n"/>
      <c r="Y135" s="153" t="inlineStr">
        <is>
          <t>Global Inv - Mar 2026</t>
        </is>
      </c>
      <c r="Z135" s="153" t="inlineStr">
        <is>
          <t>External vulnerability scanning / security assessment (SaaS) service</t>
        </is>
      </c>
      <c r="AA135" s="153" t="inlineStr">
        <is>
          <t>Cyber Security</t>
        </is>
      </c>
      <c r="AB135" s="121">
        <f>VLOOKUP(AA135,CategorySummaryTable[],2,FALSE)</f>
        <v/>
      </c>
    </row>
    <row r="136" ht="80" customHeight="1" s="142">
      <c r="B136" s="80" t="inlineStr">
        <is>
          <t>Diligent</t>
        </is>
      </c>
      <c r="C136" s="75" t="n"/>
      <c r="D136" s="75" t="inlineStr">
        <is>
          <t>Unknown</t>
        </is>
      </c>
      <c r="E136" s="75" t="n"/>
      <c r="F136" s="75" t="n"/>
      <c r="G136" s="75" t="n"/>
      <c r="H136" s="75" t="n"/>
      <c r="I136" s="75" t="n"/>
      <c r="J136" s="75" t="n"/>
      <c r="K136" s="75" t="n"/>
      <c r="L136" s="75" t="n"/>
      <c r="M136" s="75" t="n"/>
      <c r="N136" s="75" t="n"/>
      <c r="O136" s="75" t="n"/>
      <c r="P136" s="75" t="n"/>
      <c r="Q136" s="75" t="n"/>
      <c r="R136" s="75" t="n"/>
      <c r="S136" s="75" t="n"/>
      <c r="T136" s="76" t="n"/>
      <c r="U136" s="75" t="inlineStr">
        <is>
          <t>more info from Matt Cerny</t>
        </is>
      </c>
      <c r="V136" s="76" t="n"/>
      <c r="Y136" s="153" t="inlineStr">
        <is>
          <t>Global Inv - Mar 2026</t>
        </is>
      </c>
      <c r="Z136" s="153" t="inlineStr">
        <is>
          <t>Board governance, risk and compliance management software</t>
        </is>
      </c>
      <c r="AA136" s="153" t="inlineStr">
        <is>
          <t>Compliance and Risk</t>
        </is>
      </c>
      <c r="AB136" s="121">
        <f>VLOOKUP(AA136,CategorySummaryTable[],2,FALSE)</f>
        <v/>
      </c>
    </row>
    <row r="137" ht="80" customHeight="1" s="142">
      <c r="B137" s="80" t="inlineStr">
        <is>
          <t>Director's Desk</t>
        </is>
      </c>
      <c r="C137" s="75" t="n"/>
      <c r="D137" s="75" t="inlineStr">
        <is>
          <t>Unknown</t>
        </is>
      </c>
      <c r="E137" s="75" t="n"/>
      <c r="F137" s="75" t="n"/>
      <c r="G137" s="75" t="n"/>
      <c r="H137" s="75" t="n"/>
      <c r="I137" s="75" t="n"/>
      <c r="J137" s="75" t="inlineStr">
        <is>
          <t>Other</t>
        </is>
      </c>
      <c r="K137" s="75" t="n"/>
      <c r="L137" s="75" t="n"/>
      <c r="M137" s="75" t="n"/>
      <c r="N137" s="75" t="n"/>
      <c r="O137" s="75" t="n"/>
      <c r="P137" s="75" t="n"/>
      <c r="Q137" s="75" t="n"/>
      <c r="R137" s="75" t="n"/>
      <c r="S137" s="75" t="n"/>
      <c r="T137" s="76" t="n"/>
      <c r="U137" s="75" t="inlineStr">
        <is>
          <t>Alicia Williams</t>
        </is>
      </c>
      <c r="V137" s="76" t="n"/>
      <c r="Y137" s="153" t="inlineStr">
        <is>
          <t>Global Inv - Mar 2026</t>
        </is>
      </c>
      <c r="Z137" s="153" t="inlineStr">
        <is>
          <t>Board portal / board governance software</t>
        </is>
      </c>
      <c r="AA137" s="153" t="inlineStr">
        <is>
          <t>Compliance and Risk</t>
        </is>
      </c>
      <c r="AB137" s="121">
        <f>VLOOKUP(AA137,CategorySummaryTable[],2,FALSE)</f>
        <v/>
      </c>
    </row>
    <row r="138" ht="64" customHeight="1" s="142">
      <c r="B138" s="80" t="inlineStr">
        <is>
          <t>DNS Servers</t>
        </is>
      </c>
      <c r="C138" s="75" t="inlineStr">
        <is>
          <t>DNS server available at Cinci as failover. Not an application. Comprised of 2 internal and 1 external server(s) for name resolution</t>
        </is>
      </c>
      <c r="D138" s="75" t="inlineStr">
        <is>
          <t>Unknown</t>
        </is>
      </c>
      <c r="E138" s="75" t="n"/>
      <c r="F138" s="75" t="n"/>
      <c r="G138" s="75" t="inlineStr">
        <is>
          <t>Enterprise</t>
        </is>
      </c>
      <c r="H138" s="75" t="n"/>
      <c r="I138" s="75" t="inlineStr">
        <is>
          <t>Yes</t>
        </is>
      </c>
      <c r="J138" s="75" t="n"/>
      <c r="K138" s="75" t="inlineStr">
        <is>
          <t>On Premises (Client/Server)</t>
        </is>
      </c>
      <c r="L138" s="75" t="n"/>
      <c r="M138" s="75" t="n"/>
      <c r="N138" s="75" t="n"/>
      <c r="O138" s="75" t="n"/>
      <c r="P138" s="75" t="n"/>
      <c r="Q138" s="75" t="inlineStr">
        <is>
          <t>No</t>
        </is>
      </c>
      <c r="R138" s="75" t="n"/>
      <c r="S138" s="75" t="n"/>
      <c r="T138" s="76" t="n"/>
      <c r="U138" s="75" t="inlineStr">
        <is>
          <t>server?</t>
        </is>
      </c>
      <c r="V138" s="76" t="n"/>
      <c r="Y138" s="153" t="inlineStr">
        <is>
          <t>Global Inv - Mar 2026</t>
        </is>
      </c>
      <c r="Z138" s="153" t="inlineStr">
        <is>
          <t>NA</t>
        </is>
      </c>
      <c r="AA138" s="153" t="inlineStr">
        <is>
          <t>IT Operations</t>
        </is>
      </c>
      <c r="AB138" s="121">
        <f>VLOOKUP(AA138,CategorySummaryTable[],2,FALSE)</f>
        <v/>
      </c>
    </row>
    <row r="139" ht="64" customHeight="1" s="142">
      <c r="B139" s="91" t="inlineStr">
        <is>
          <t>Domain Controllers / nFront Password Filter</t>
        </is>
      </c>
      <c r="C139" s="75" t="inlineStr">
        <is>
          <t>nFront Password Filter is a password policy enforcement tool for Windows Active Directory that allows up to 10 different password policies in the same Windows domain. Each password policy has many granular settings and can be associated with one or more global or universal security groups.</t>
        </is>
      </c>
      <c r="D139" s="75" t="inlineStr">
        <is>
          <t>Active</t>
        </is>
      </c>
      <c r="E139" s="75" t="inlineStr">
        <is>
          <t>Nfront security
Software company</t>
        </is>
      </c>
      <c r="F139" s="75" t="n"/>
      <c r="G139" s="75" t="inlineStr">
        <is>
          <t>Enterprise</t>
        </is>
      </c>
      <c r="H139" s="75" t="n"/>
      <c r="I139" s="75" t="inlineStr">
        <is>
          <t>Yes</t>
        </is>
      </c>
      <c r="J139" s="75" t="n"/>
      <c r="K139" s="75" t="n"/>
      <c r="L139" s="75" t="n"/>
      <c r="M139" s="75" t="n"/>
      <c r="N139" s="75" t="n"/>
      <c r="O139" s="75" t="n"/>
      <c r="P139" s="75" t="n"/>
      <c r="Q139" s="75" t="inlineStr">
        <is>
          <t>No</t>
        </is>
      </c>
      <c r="R139" s="75" t="n"/>
      <c r="S139" s="75" t="inlineStr">
        <is>
          <t>Matthew Cerny</t>
        </is>
      </c>
      <c r="T139" s="76" t="n">
        <v>44518</v>
      </c>
      <c r="U139" s="75" t="inlineStr">
        <is>
          <t>Verified via Matthew Cerny</t>
        </is>
      </c>
      <c r="V139" s="76" t="n">
        <v>44518</v>
      </c>
      <c r="Y139" s="153" t="inlineStr">
        <is>
          <t>Global Inv - Mar 2026</t>
        </is>
      </c>
      <c r="Z139" s="153" t="inlineStr">
        <is>
          <t>Active Directory password policy enforcement software</t>
        </is>
      </c>
      <c r="AA139" s="153" t="inlineStr">
        <is>
          <t>Cyber Security</t>
        </is>
      </c>
      <c r="AB139" s="121">
        <f>VLOOKUP(AA139,CategorySummaryTable[],2,FALSE)</f>
        <v/>
      </c>
    </row>
    <row r="140" ht="64" customHeight="1" s="142">
      <c r="B140" s="57" t="inlineStr">
        <is>
          <t>Doxygen</t>
        </is>
      </c>
      <c r="C140" s="75" t="inlineStr">
        <is>
          <t>Tool to extract documentation from keywords in source code files</t>
        </is>
      </c>
      <c r="D140" s="75" t="inlineStr">
        <is>
          <t>Active</t>
        </is>
      </c>
      <c r="E140" s="75" t="inlineStr">
        <is>
          <t>Dimitri van Heesch</t>
        </is>
      </c>
      <c r="F140" s="75" t="n"/>
      <c r="G140" s="75" t="n"/>
      <c r="H140" s="75" t="inlineStr">
        <is>
          <t>Billerica</t>
        </is>
      </c>
      <c r="I140" s="75" t="n"/>
      <c r="J140" s="75" t="n"/>
      <c r="K140" s="75" t="inlineStr">
        <is>
          <t>Desktop</t>
        </is>
      </c>
      <c r="L140" s="75" t="n"/>
      <c r="M140" s="75" t="n"/>
      <c r="N140" s="75" t="n"/>
      <c r="O140" s="75" t="n"/>
      <c r="P140" s="75" t="n"/>
      <c r="Q140" s="75" t="inlineStr">
        <is>
          <t>N</t>
        </is>
      </c>
      <c r="R140" s="75" t="n"/>
      <c r="S140" s="75" t="inlineStr">
        <is>
          <t>Gary Beckmann</t>
        </is>
      </c>
      <c r="T140" s="76" t="n">
        <v>44581</v>
      </c>
      <c r="U140" s="75" t="inlineStr">
        <is>
          <t>Verified via Gary Beckmann</t>
        </is>
      </c>
      <c r="V140" s="76" t="n">
        <v>44581</v>
      </c>
      <c r="Y140" s="153" t="inlineStr">
        <is>
          <t>Global Inv - Mar 2026</t>
        </is>
      </c>
      <c r="Z140" s="153" t="inlineStr">
        <is>
          <t>Source code documentation generation tool</t>
        </is>
      </c>
      <c r="AA140" s="153" t="inlineStr">
        <is>
          <t>IT Operations</t>
        </is>
      </c>
      <c r="AB140" s="121">
        <f>VLOOKUP(AA140,CategorySummaryTable[],2,FALSE)</f>
        <v/>
      </c>
    </row>
    <row r="141" ht="80" customHeight="1" s="142">
      <c r="B141" s="77" t="inlineStr">
        <is>
          <t>Dreamweaver (Adobe)</t>
        </is>
      </c>
      <c r="C141" s="75" t="n"/>
      <c r="D141" s="75" t="inlineStr">
        <is>
          <t>Unknown</t>
        </is>
      </c>
      <c r="E141" s="75" t="inlineStr">
        <is>
          <t>Adobe</t>
        </is>
      </c>
      <c r="F141" s="75" t="n"/>
      <c r="G141" s="75" t="n"/>
      <c r="H141" s="75" t="inlineStr">
        <is>
          <t>St. Aubin</t>
        </is>
      </c>
      <c r="I141" s="75" t="n"/>
      <c r="J141" s="75" t="n"/>
      <c r="K141" s="75" t="inlineStr">
        <is>
          <t>Desktop</t>
        </is>
      </c>
      <c r="L141" s="75" t="n"/>
      <c r="M141" s="75" t="n"/>
      <c r="N141" s="75" t="n"/>
      <c r="O141" s="75" t="n"/>
      <c r="P141" s="75" t="n"/>
      <c r="Q141" s="75" t="n"/>
      <c r="R141" s="75" t="n"/>
      <c r="S141" s="75" t="n"/>
      <c r="T141" s="76" t="n"/>
      <c r="U141" s="75" t="inlineStr">
        <is>
          <t>Desktop app- ask German Mesa?</t>
        </is>
      </c>
      <c r="V141" s="76" t="n"/>
      <c r="Y141" s="153" t="inlineStr">
        <is>
          <t>Global Inv - Mar 2026</t>
        </is>
      </c>
      <c r="Z141" s="153" t="inlineStr">
        <is>
          <t>Web design and development software</t>
        </is>
      </c>
      <c r="AA141" s="153" t="inlineStr">
        <is>
          <t>Marketing</t>
        </is>
      </c>
      <c r="AB141" s="121">
        <f>VLOOKUP(AA141,CategorySummaryTable[],2,FALSE)</f>
        <v/>
      </c>
    </row>
    <row r="142" ht="96" customHeight="1" s="142">
      <c r="B142" s="56" t="inlineStr">
        <is>
          <t>DSV WebApp</t>
        </is>
      </c>
      <c r="C142" s="75" t="n"/>
      <c r="D142" s="75" t="inlineStr">
        <is>
          <t>Decommissioned</t>
        </is>
      </c>
      <c r="E142" s="75" t="n"/>
      <c r="F142" s="75" t="n"/>
      <c r="G142" s="75" t="n"/>
      <c r="H142" s="75" t="inlineStr">
        <is>
          <t>Ghent, BE</t>
        </is>
      </c>
      <c r="I142" s="75" t="n"/>
      <c r="J142" s="75" t="inlineStr">
        <is>
          <t>Other</t>
        </is>
      </c>
      <c r="K142" s="75" t="inlineStr">
        <is>
          <t>On Line</t>
        </is>
      </c>
      <c r="L142" s="75" t="n"/>
      <c r="M142" s="75" t="n"/>
      <c r="N142" s="75" t="n"/>
      <c r="O142" s="75" t="n"/>
      <c r="P142" s="75" t="n"/>
      <c r="Q142" s="75" t="inlineStr">
        <is>
          <t>Y</t>
        </is>
      </c>
      <c r="R142" s="75" t="n"/>
      <c r="S142" s="75" t="n"/>
      <c r="T142" s="76" t="n"/>
      <c r="U142" s="75" t="inlineStr">
        <is>
          <t>Paul James</t>
        </is>
      </c>
      <c r="V142" s="76" t="n"/>
      <c r="W142" s="71" t="inlineStr">
        <is>
          <t>Decommissioned when we stopped ortho kit business</t>
        </is>
      </c>
      <c r="Y142" s="153" t="inlineStr">
        <is>
          <t>Global Inv - Mar 2026</t>
        </is>
      </c>
      <c r="Z142" s="153" t="inlineStr">
        <is>
          <t>Freight and logistics shipment management web portal</t>
        </is>
      </c>
      <c r="AA142" s="153" t="inlineStr">
        <is>
          <t>Supply Chain and Distribution</t>
        </is>
      </c>
      <c r="AB142" s="121">
        <f>VLOOKUP(AA142,CategorySummaryTable[],2,FALSE)</f>
        <v/>
      </c>
    </row>
    <row r="143" ht="80" customHeight="1" s="142">
      <c r="B143" s="77" t="inlineStr">
        <is>
          <t>DYMO</t>
        </is>
      </c>
      <c r="C143" s="75" t="n"/>
      <c r="D143" s="75" t="inlineStr">
        <is>
          <t>Unknown</t>
        </is>
      </c>
      <c r="E143" s="75" t="n"/>
      <c r="F143" s="75" t="n"/>
      <c r="G143" s="75" t="n"/>
      <c r="H143" s="75" t="inlineStr">
        <is>
          <t>Germany</t>
        </is>
      </c>
      <c r="I143" s="75" t="n"/>
      <c r="J143" s="75" t="n"/>
      <c r="K143" s="75" t="inlineStr">
        <is>
          <t>Desktop</t>
        </is>
      </c>
      <c r="L143" s="75" t="n"/>
      <c r="M143" s="75" t="n"/>
      <c r="N143" s="75" t="n"/>
      <c r="O143" s="75" t="n"/>
      <c r="P143" s="75" t="n"/>
      <c r="Q143" s="75" t="inlineStr">
        <is>
          <t>N</t>
        </is>
      </c>
      <c r="R143" s="75" t="n"/>
      <c r="S143" s="75" t="n"/>
      <c r="T143" s="76" t="n"/>
      <c r="U143" s="75" t="inlineStr">
        <is>
          <t>Paul Raus</t>
        </is>
      </c>
      <c r="V143" s="76" t="n"/>
      <c r="Y143" s="153" t="inlineStr">
        <is>
          <t>Global Inv - Mar 2026</t>
        </is>
      </c>
      <c r="Z143" s="153" t="inlineStr">
        <is>
          <t>Label maker and label-printing software</t>
        </is>
      </c>
      <c r="AA143" s="153" t="inlineStr">
        <is>
          <t>Manufacturing</t>
        </is>
      </c>
      <c r="AB143" s="121">
        <f>VLOOKUP(AA143,CategorySummaryTable[],2,FALSE)</f>
        <v/>
      </c>
    </row>
    <row r="144" ht="64" customHeight="1" s="142">
      <c r="B144" s="56" t="inlineStr">
        <is>
          <t>Eagle</t>
        </is>
      </c>
      <c r="C144" s="75" t="inlineStr">
        <is>
          <t>Related to CAD</t>
        </is>
      </c>
      <c r="D144" s="75" t="inlineStr">
        <is>
          <t>Unknown</t>
        </is>
      </c>
      <c r="E144" s="75" t="inlineStr">
        <is>
          <t>AutoDesk</t>
        </is>
      </c>
      <c r="F144" s="75" t="n"/>
      <c r="G144" s="75" t="n"/>
      <c r="H144" s="75" t="inlineStr">
        <is>
          <t>Billerica</t>
        </is>
      </c>
      <c r="I144" s="75" t="n"/>
      <c r="J144" s="75" t="n"/>
      <c r="K144" s="75" t="inlineStr">
        <is>
          <t>Desktop</t>
        </is>
      </c>
      <c r="L144" s="75" t="n"/>
      <c r="M144" s="75" t="n"/>
      <c r="N144" s="75" t="n"/>
      <c r="O144" s="75" t="n"/>
      <c r="P144" s="75" t="n"/>
      <c r="Q144" s="75" t="inlineStr">
        <is>
          <t>N</t>
        </is>
      </c>
      <c r="R144" s="75" t="n"/>
      <c r="S144" s="75" t="n"/>
      <c r="T144" s="76" t="n"/>
      <c r="U144" s="75" t="inlineStr">
        <is>
          <t>Unknown IS Owner</t>
        </is>
      </c>
      <c r="V144" s="76" t="n"/>
      <c r="Y144" s="153" t="inlineStr">
        <is>
          <t>Global Inv - Mar 2026</t>
        </is>
      </c>
      <c r="Z144" s="153" t="inlineStr">
        <is>
          <t>Electronic/PCB design (CAD) software</t>
        </is>
      </c>
      <c r="AA144" s="153" t="inlineStr">
        <is>
          <t>Engineering</t>
        </is>
      </c>
      <c r="AB144" s="121">
        <f>VLOOKUP(AA144,CategorySummaryTable[],2,FALSE)</f>
        <v/>
      </c>
    </row>
    <row r="145" ht="80" customHeight="1" s="142">
      <c r="B145" s="90" t="inlineStr">
        <is>
          <t>EAGLE VISION</t>
        </is>
      </c>
      <c r="C145" s="75" t="inlineStr">
        <is>
          <t>Microscope software</t>
        </is>
      </c>
      <c r="D145" s="75" t="inlineStr">
        <is>
          <t>Active</t>
        </is>
      </c>
      <c r="E145" s="75" t="inlineStr">
        <is>
          <t>Eagle Vision</t>
        </is>
      </c>
      <c r="F145" s="75" t="n"/>
      <c r="G145" s="75" t="n"/>
      <c r="H145" s="75" t="inlineStr">
        <is>
          <t>Cincinnati</t>
        </is>
      </c>
      <c r="I145" s="75" t="inlineStr">
        <is>
          <t>Yes</t>
        </is>
      </c>
      <c r="J145" s="75" t="n"/>
      <c r="K145" s="75" t="inlineStr">
        <is>
          <t>Desktop</t>
        </is>
      </c>
      <c r="L145" s="75" t="n"/>
      <c r="M145" s="75" t="n"/>
      <c r="N145" s="75" t="n"/>
      <c r="O145" s="75" t="n"/>
      <c r="P145" s="75" t="n"/>
      <c r="Q145" s="75" t="inlineStr">
        <is>
          <t>No</t>
        </is>
      </c>
      <c r="R145" s="75" t="n"/>
      <c r="S145" s="75" t="inlineStr">
        <is>
          <t>Michael Patterson</t>
        </is>
      </c>
      <c r="T145" s="76" t="n">
        <v>44516</v>
      </c>
      <c r="U145" s="75" t="inlineStr">
        <is>
          <t>Verified via Michael Patterson</t>
        </is>
      </c>
      <c r="V145" s="76" t="n">
        <v>44516</v>
      </c>
      <c r="Y145" s="153" t="inlineStr">
        <is>
          <t>Global Inv - Mar 2026</t>
        </is>
      </c>
      <c r="Z145" s="153" t="inlineStr">
        <is>
          <t>Microscope imaging and analysis software</t>
        </is>
      </c>
      <c r="AA145" s="153" t="inlineStr">
        <is>
          <t>Clinical Manufacturing Process</t>
        </is>
      </c>
      <c r="AB145" s="121">
        <f>VLOOKUP(AA145,CategorySummaryTable[],2,FALSE)</f>
        <v/>
      </c>
    </row>
    <row r="146" ht="80" customHeight="1" s="142">
      <c r="B146" s="56" t="inlineStr">
        <is>
          <t>Easy Label</t>
        </is>
      </c>
      <c r="C146" s="75" t="n"/>
      <c r="D146" s="75" t="inlineStr">
        <is>
          <t>Active</t>
        </is>
      </c>
      <c r="E146" s="75" t="inlineStr">
        <is>
          <t>Tharo</t>
        </is>
      </c>
      <c r="F146" s="75" t="n"/>
      <c r="G146" s="75" t="n"/>
      <c r="H146" s="75" t="inlineStr">
        <is>
          <t>Puerto Rico, Boston</t>
        </is>
      </c>
      <c r="I146" s="75" t="n"/>
      <c r="J146" s="75" t="n"/>
      <c r="K146" s="75" t="inlineStr">
        <is>
          <t>Desktop</t>
        </is>
      </c>
      <c r="L146" s="75" t="n"/>
      <c r="M146" s="75" t="n"/>
      <c r="N146" s="75" t="n"/>
      <c r="O146" s="75" t="n"/>
      <c r="P146" s="75" t="n"/>
      <c r="Q146" s="75" t="inlineStr">
        <is>
          <t>Y</t>
        </is>
      </c>
      <c r="R146" s="75" t="n"/>
      <c r="S146" s="75" t="n"/>
      <c r="T146" s="76" t="n"/>
      <c r="U146" s="75" t="inlineStr">
        <is>
          <t>Jesus Mendez</t>
        </is>
      </c>
      <c r="V146" s="76" t="n"/>
      <c r="Y146" s="153" t="inlineStr">
        <is>
          <t>Global Inv - Mar 2026</t>
        </is>
      </c>
      <c r="Z146" s="153" t="inlineStr">
        <is>
          <t>Barcode and label design/printing software</t>
        </is>
      </c>
      <c r="AA146" s="153" t="inlineStr">
        <is>
          <t>Manufacturing</t>
        </is>
      </c>
      <c r="AB146" s="121">
        <f>VLOOKUP(AA146,CategorySummaryTable[],2,FALSE)</f>
        <v/>
      </c>
    </row>
    <row r="147" ht="64" customHeight="1" s="142">
      <c r="B147" s="77" t="inlineStr">
        <is>
          <t>EASY-software</t>
        </is>
      </c>
      <c r="C147" s="75" t="n"/>
      <c r="D147" s="75" t="inlineStr">
        <is>
          <t>Not Started</t>
        </is>
      </c>
      <c r="E147" s="75" t="n"/>
      <c r="F147" s="75" t="n"/>
      <c r="G147" s="75" t="n"/>
      <c r="H147" s="75" t="inlineStr">
        <is>
          <t>Germany</t>
        </is>
      </c>
      <c r="I147" s="75" t="inlineStr">
        <is>
          <t>Yes</t>
        </is>
      </c>
      <c r="J147" s="75" t="n"/>
      <c r="K147" s="75" t="inlineStr">
        <is>
          <t>On Premises (Client/Server)</t>
        </is>
      </c>
      <c r="L147" s="75" t="n"/>
      <c r="M147" s="75" t="n"/>
      <c r="N147" s="75" t="n"/>
      <c r="O147" s="75" t="n"/>
      <c r="P147" s="75" t="n"/>
      <c r="Q147" s="75" t="inlineStr">
        <is>
          <t>N</t>
        </is>
      </c>
      <c r="R147" s="75" t="n"/>
      <c r="S147" s="75" t="n"/>
      <c r="T147" s="76" t="n"/>
      <c r="U147" s="75" t="inlineStr">
        <is>
          <t>Paul Raus</t>
        </is>
      </c>
      <c r="V147" s="76" t="n"/>
      <c r="Y147" s="153" t="inlineStr">
        <is>
          <t>Global Inv - Mar 2026</t>
        </is>
      </c>
      <c r="Z147" s="153" t="inlineStr">
        <is>
          <t>Document management and archiving (ECM) software</t>
        </is>
      </c>
      <c r="AA147" s="153" t="inlineStr">
        <is>
          <t>IT Operations</t>
        </is>
      </c>
      <c r="AB147" s="121">
        <f>VLOOKUP(AA147,CategorySummaryTable[],2,FALSE)</f>
        <v/>
      </c>
    </row>
    <row r="148" ht="64" customHeight="1" s="142">
      <c r="B148" s="56" t="inlineStr">
        <is>
          <t>EasyView</t>
        </is>
      </c>
      <c r="C148" s="75" t="n"/>
      <c r="D148" s="75" t="inlineStr">
        <is>
          <t>Not Started</t>
        </is>
      </c>
      <c r="E148" s="75" t="inlineStr">
        <is>
          <t>Easy Street Software</t>
        </is>
      </c>
      <c r="F148" s="75" t="n"/>
      <c r="G148" s="75" t="n"/>
      <c r="H148" s="75" t="inlineStr">
        <is>
          <t>Boston, Waltham</t>
        </is>
      </c>
      <c r="I148" s="75" t="n"/>
      <c r="J148" s="75" t="n"/>
      <c r="K148" s="75" t="inlineStr">
        <is>
          <t>Desktop</t>
        </is>
      </c>
      <c r="L148" s="75" t="n"/>
      <c r="M148" s="75" t="n"/>
      <c r="N148" s="75" t="n"/>
      <c r="O148" s="75" t="n"/>
      <c r="P148" s="75" t="n"/>
      <c r="Q148" s="75" t="n"/>
      <c r="R148" s="75" t="n"/>
      <c r="S148" s="75" t="n"/>
      <c r="T148" s="76" t="n"/>
      <c r="U148" s="75" t="inlineStr">
        <is>
          <t>Jeff Gersbach</t>
        </is>
      </c>
      <c r="V148" s="76" t="n"/>
      <c r="Y148" s="153" t="inlineStr">
        <is>
          <t>Global Inv - Mar 2026</t>
        </is>
      </c>
      <c r="Z148" s="153" t="inlineStr">
        <is>
          <t>Crystal Reports viewing and printing software</t>
        </is>
      </c>
      <c r="AA148" s="153" t="inlineStr">
        <is>
          <t>IT Operations</t>
        </is>
      </c>
      <c r="AB148" s="121">
        <f>VLOOKUP(AA148,CategorySummaryTable[],2,FALSE)</f>
        <v/>
      </c>
    </row>
    <row r="149" ht="64" customHeight="1" s="142">
      <c r="B149" s="80" t="inlineStr">
        <is>
          <t>eCopy ShareScan Server</t>
        </is>
      </c>
      <c r="C149" s="75" t="inlineStr">
        <is>
          <t>Server for corp ShareScan function</t>
        </is>
      </c>
      <c r="D149" s="75" t="inlineStr">
        <is>
          <t>Unknown</t>
        </is>
      </c>
      <c r="E149" s="75" t="inlineStr">
        <is>
          <t>Kofax</t>
        </is>
      </c>
      <c r="F149" s="75" t="n"/>
      <c r="G149" s="75" t="n"/>
      <c r="H149" s="75" t="inlineStr">
        <is>
          <t>Corporate</t>
        </is>
      </c>
      <c r="I149" s="75" t="inlineStr">
        <is>
          <t>Yes</t>
        </is>
      </c>
      <c r="J149" s="75" t="n"/>
      <c r="K149" s="75" t="inlineStr">
        <is>
          <t>On Premises (Client/Server)</t>
        </is>
      </c>
      <c r="L149" s="75" t="n"/>
      <c r="M149" s="75" t="n"/>
      <c r="N149" s="75" t="n"/>
      <c r="O149" s="75" t="n"/>
      <c r="P149" s="75" t="n"/>
      <c r="Q149" s="75" t="inlineStr">
        <is>
          <t>No</t>
        </is>
      </c>
      <c r="R149" s="75" t="n"/>
      <c r="S149" s="75" t="n"/>
      <c r="T149" s="76" t="n"/>
      <c r="U149" s="75" t="inlineStr">
        <is>
          <t>server?</t>
        </is>
      </c>
      <c r="V149" s="76" t="n"/>
      <c r="Y149" s="153" t="inlineStr">
        <is>
          <t>Global Inv - Mar 2026</t>
        </is>
      </c>
      <c r="Z149" s="153" t="inlineStr">
        <is>
          <t>Document scanning and capture software</t>
        </is>
      </c>
      <c r="AA149" s="153" t="inlineStr">
        <is>
          <t>IT Operations</t>
        </is>
      </c>
      <c r="AB149" s="121">
        <f>VLOOKUP(AA149,CategorySummaryTable[],2,FALSE)</f>
        <v/>
      </c>
    </row>
    <row r="150" ht="80" customHeight="1" s="142">
      <c r="B150" s="56" t="inlineStr">
        <is>
          <t>EDAX GENESIS</t>
        </is>
      </c>
      <c r="C150" s="75" t="n"/>
      <c r="D150" s="75" t="inlineStr">
        <is>
          <t>Unknown</t>
        </is>
      </c>
      <c r="E150" s="75" t="inlineStr">
        <is>
          <t>EDAX, a unit of AMETEK</t>
        </is>
      </c>
      <c r="F150" s="75" t="n"/>
      <c r="G150" s="75" t="n"/>
      <c r="H150" s="75" t="inlineStr">
        <is>
          <t>Plainsboro Corp</t>
        </is>
      </c>
      <c r="I150" s="75" t="n"/>
      <c r="J150" s="75" t="n"/>
      <c r="K150" s="75" t="inlineStr">
        <is>
          <t>Local</t>
        </is>
      </c>
      <c r="L150" s="75" t="n"/>
      <c r="M150" s="75" t="n"/>
      <c r="N150" s="75" t="n"/>
      <c r="O150" s="75" t="n"/>
      <c r="P150" s="75" t="n"/>
      <c r="Q150" s="75" t="inlineStr">
        <is>
          <t>Y</t>
        </is>
      </c>
      <c r="R150" s="75" t="n"/>
      <c r="S150" s="75" t="n"/>
      <c r="T150" s="76" t="n"/>
      <c r="U150" s="75" t="inlineStr">
        <is>
          <t>Kent Lowry</t>
        </is>
      </c>
      <c r="V150" s="76" t="n"/>
      <c r="Y150" s="153" t="inlineStr">
        <is>
          <t>Global Inv - Mar 2026</t>
        </is>
      </c>
      <c r="Z150" s="153" t="inlineStr">
        <is>
          <t>EDS X-ray microanalysis software for electron microscopy</t>
        </is>
      </c>
      <c r="AA150" s="153" t="inlineStr">
        <is>
          <t>Clinical Manufacturing Process</t>
        </is>
      </c>
      <c r="AB150" s="121">
        <f>VLOOKUP(AA150,CategorySummaryTable[],2,FALSE)</f>
        <v/>
      </c>
    </row>
    <row r="151" ht="64" customHeight="1" s="142">
      <c r="B151" s="77" t="inlineStr">
        <is>
          <t>EDC SQL</t>
        </is>
      </c>
      <c r="C151" s="75" t="n"/>
      <c r="D151" s="75" t="inlineStr">
        <is>
          <t>Unknown</t>
        </is>
      </c>
      <c r="E151" s="75" t="inlineStr">
        <is>
          <t>Microsoft</t>
        </is>
      </c>
      <c r="F151" s="75" t="n"/>
      <c r="G151" s="75" t="n"/>
      <c r="H151" s="75" t="inlineStr">
        <is>
          <t>All EU</t>
        </is>
      </c>
      <c r="I151" s="75" t="inlineStr">
        <is>
          <t>Yes</t>
        </is>
      </c>
      <c r="J151" s="75" t="n"/>
      <c r="K151" s="75" t="inlineStr">
        <is>
          <t>On Premises (Client/Server)</t>
        </is>
      </c>
      <c r="L151" s="75" t="n"/>
      <c r="M151" s="75" t="n"/>
      <c r="N151" s="75" t="n"/>
      <c r="O151" s="75" t="n"/>
      <c r="P151" s="75" t="n"/>
      <c r="Q151" s="75" t="inlineStr">
        <is>
          <t>N</t>
        </is>
      </c>
      <c r="R151" s="75" t="n"/>
      <c r="S151" s="75" t="n"/>
      <c r="T151" s="76" t="n"/>
      <c r="U151" s="75" t="inlineStr">
        <is>
          <t>Daniel Marabotti</t>
        </is>
      </c>
      <c r="V151" s="76" t="n"/>
      <c r="Y151" s="153" t="inlineStr">
        <is>
          <t>Global Inv - Mar 2026</t>
        </is>
      </c>
      <c r="Z151" s="153" t="inlineStr">
        <is>
          <t>NA</t>
        </is>
      </c>
      <c r="AA151" s="153" t="inlineStr">
        <is>
          <t>IT Operations</t>
        </is>
      </c>
      <c r="AB151" s="121">
        <f>VLOOKUP(AA151,CategorySummaryTable[],2,FALSE)</f>
        <v/>
      </c>
    </row>
    <row r="152" ht="80" customHeight="1" s="142">
      <c r="B152" s="53" t="inlineStr">
        <is>
          <t>EDGAR EASE</t>
        </is>
      </c>
      <c r="C152" s="75" t="n"/>
      <c r="D152" s="75" t="inlineStr">
        <is>
          <t>Unknown</t>
        </is>
      </c>
      <c r="E152" s="75" t="inlineStr">
        <is>
          <t>CT, a Wolters Kluwer business</t>
        </is>
      </c>
      <c r="F152" s="75" t="n"/>
      <c r="G152" s="75" t="n"/>
      <c r="H152" s="75" t="inlineStr">
        <is>
          <t>Plainsboro Corp</t>
        </is>
      </c>
      <c r="I152" s="75" t="n"/>
      <c r="J152" s="75" t="inlineStr">
        <is>
          <t>Other</t>
        </is>
      </c>
      <c r="K152" s="75" t="inlineStr">
        <is>
          <t>SaaS</t>
        </is>
      </c>
      <c r="L152" s="75" t="n"/>
      <c r="M152" s="75" t="n"/>
      <c r="N152" s="75" t="n"/>
      <c r="O152" s="75" t="n"/>
      <c r="P152" s="75" t="n"/>
      <c r="Q152" s="75" t="inlineStr">
        <is>
          <t>No</t>
        </is>
      </c>
      <c r="R152" s="75" t="n"/>
      <c r="S152" s="75" t="n"/>
      <c r="T152" s="76" t="n"/>
      <c r="U152" s="75" t="inlineStr">
        <is>
          <t>Amy Deol</t>
        </is>
      </c>
      <c r="V152" s="76" t="n"/>
      <c r="Y152" s="153" t="inlineStr">
        <is>
          <t>Global Inv - Mar 2026</t>
        </is>
      </c>
      <c r="Z152" s="153" t="inlineStr">
        <is>
          <t>SEC EDGAR regulatory filing software</t>
        </is>
      </c>
      <c r="AA152" s="153" t="inlineStr">
        <is>
          <t>Compliance and Risk</t>
        </is>
      </c>
      <c r="AB152" s="121">
        <f>VLOOKUP(AA152,CategorySummaryTable[],2,FALSE)</f>
        <v/>
      </c>
    </row>
    <row r="153" ht="80" customHeight="1" s="142">
      <c r="B153" s="77" t="inlineStr">
        <is>
          <t>edl_21CFR (Datalogger also listed on row 110)</t>
        </is>
      </c>
      <c r="C153" s="75" t="inlineStr">
        <is>
          <t>Marked for deletetion</t>
        </is>
      </c>
      <c r="D153" s="75" t="inlineStr">
        <is>
          <t>Unknown</t>
        </is>
      </c>
      <c r="E153" s="75" t="n"/>
      <c r="F153" s="75" t="n"/>
      <c r="G153" s="75" t="n"/>
      <c r="H153" s="75" t="inlineStr">
        <is>
          <t>Puerto Rico</t>
        </is>
      </c>
      <c r="I153" s="75" t="n"/>
      <c r="J153" s="75" t="n"/>
      <c r="K153" s="75" t="inlineStr">
        <is>
          <t>Desktop</t>
        </is>
      </c>
      <c r="L153" s="75" t="n"/>
      <c r="M153" s="75" t="n"/>
      <c r="N153" s="75" t="n"/>
      <c r="O153" s="75" t="n"/>
      <c r="P153" s="75" t="n"/>
      <c r="Q153" s="75" t="inlineStr">
        <is>
          <t>Y</t>
        </is>
      </c>
      <c r="R153" s="75" t="n"/>
      <c r="S153" s="75" t="n"/>
      <c r="T153" s="76" t="n"/>
      <c r="U153" s="75" t="n"/>
      <c r="V153" s="76" t="n"/>
      <c r="Y153" s="153" t="inlineStr">
        <is>
          <t>Global Inv - Mar 2026</t>
        </is>
      </c>
      <c r="Z153" s="153" t="inlineStr">
        <is>
          <t>NA</t>
        </is>
      </c>
      <c r="AA153" s="153" t="inlineStr">
        <is>
          <t>Quality and Validation</t>
        </is>
      </c>
      <c r="AB153" s="121">
        <f>VLOOKUP(AA153,CategorySummaryTable[],2,FALSE)</f>
        <v/>
      </c>
    </row>
    <row r="154" ht="80" customHeight="1" s="142">
      <c r="B154" s="80" t="inlineStr">
        <is>
          <t>EDS-Pro</t>
        </is>
      </c>
      <c r="C154" s="75" t="n"/>
      <c r="D154" s="75" t="inlineStr">
        <is>
          <t>Unknown</t>
        </is>
      </c>
      <c r="E154" s="75" t="n"/>
      <c r="F154" s="75" t="n"/>
      <c r="G154" s="75" t="n"/>
      <c r="H154" s="75" t="n"/>
      <c r="I154" s="75" t="n"/>
      <c r="J154" s="75" t="inlineStr">
        <is>
          <t>Other</t>
        </is>
      </c>
      <c r="K154" s="75" t="n"/>
      <c r="L154" s="75" t="n"/>
      <c r="M154" s="75" t="n"/>
      <c r="N154" s="75" t="n"/>
      <c r="O154" s="75" t="n"/>
      <c r="P154" s="75" t="n"/>
      <c r="Q154" s="75" t="n"/>
      <c r="R154" s="75" t="n"/>
      <c r="S154" s="75" t="n"/>
      <c r="T154" s="76" t="n"/>
      <c r="U154" s="75" t="inlineStr">
        <is>
          <t>Check Lansweeper?</t>
        </is>
      </c>
      <c r="V154" s="76" t="n"/>
      <c r="Y154" s="153" t="inlineStr">
        <is>
          <t>Global Inv - Mar 2026</t>
        </is>
      </c>
      <c r="Z154" s="153" t="inlineStr">
        <is>
          <t>NA</t>
        </is>
      </c>
      <c r="AA154" s="153" t="inlineStr">
        <is>
          <t>Clinical Manufacturing Process</t>
        </is>
      </c>
      <c r="AB154" s="121">
        <f>VLOOKUP(AA154,CategorySummaryTable[],2,FALSE)</f>
        <v/>
      </c>
    </row>
    <row r="155" ht="80" customHeight="1" s="142">
      <c r="B155" s="58" t="inlineStr">
        <is>
          <t>EDW - Datastage/SQL/Cognos</t>
        </is>
      </c>
      <c r="C155" s="75" t="inlineStr">
        <is>
          <t>Resource library: https://integralife.sharepoint.com/sites/Azure/EDW/Forms/AllItems.aspx</t>
        </is>
      </c>
      <c r="D155" s="75" t="inlineStr">
        <is>
          <t>Active</t>
        </is>
      </c>
      <c r="E155" s="75" t="inlineStr">
        <is>
          <t>IBM</t>
        </is>
      </c>
      <c r="F155" s="75" t="n"/>
      <c r="G155" s="75" t="inlineStr">
        <is>
          <t>Enterprise</t>
        </is>
      </c>
      <c r="H155" s="75" t="n"/>
      <c r="I155" s="75" t="inlineStr">
        <is>
          <t>Yes</t>
        </is>
      </c>
      <c r="J155" s="75" t="inlineStr">
        <is>
          <t>Azure</t>
        </is>
      </c>
      <c r="K155" s="75" t="n"/>
      <c r="L155" s="75" t="n"/>
      <c r="M155" s="75" t="n"/>
      <c r="N155" s="75" t="n"/>
      <c r="O155" s="75" t="n"/>
      <c r="P155" s="75" t="inlineStr">
        <is>
          <t>T1</t>
        </is>
      </c>
      <c r="Q155" s="75" t="inlineStr">
        <is>
          <t>No</t>
        </is>
      </c>
      <c r="R155" s="75" t="n"/>
      <c r="S155" s="75" t="n"/>
      <c r="T155" s="76" t="n"/>
      <c r="U155" s="75" t="n"/>
      <c r="V155" s="76" t="n"/>
      <c r="Y155" s="153" t="inlineStr">
        <is>
          <t>Global Inv - Mar 2026</t>
        </is>
      </c>
      <c r="Z155" s="153" t="inlineStr">
        <is>
          <t>Enterprise data warehouse with ETL and business intelligence reporting</t>
        </is>
      </c>
      <c r="AA155" s="153" t="inlineStr">
        <is>
          <t>Data and Analytics</t>
        </is>
      </c>
      <c r="AB155" s="121">
        <f>VLOOKUP(AA155,CategorySummaryTable[],2,FALSE)</f>
        <v/>
      </c>
    </row>
    <row r="156" ht="80" customHeight="1" s="142">
      <c r="B156" s="80" t="inlineStr">
        <is>
          <t>Egnyte Graphics Server and AD Cloud Sync</t>
        </is>
      </c>
      <c r="C156" s="75" t="inlineStr">
        <is>
          <t>Global graphics artwork server. Archive for all promotional and label artwork, and enable share environment. The Graphics will be working on a very critical project supporting Codman labeling in Q2-Q3, they request that the on-prem servers are up and running no later than Tuesday if we relocate the servers to the new data center</t>
        </is>
      </c>
      <c r="D156" s="75" t="inlineStr">
        <is>
          <t>Active</t>
        </is>
      </c>
      <c r="E156" s="75" t="inlineStr">
        <is>
          <t>Egnyte</t>
        </is>
      </c>
      <c r="F156" s="75" t="n"/>
      <c r="G156" s="75" t="n"/>
      <c r="H156" s="75" t="inlineStr">
        <is>
          <t>US</t>
        </is>
      </c>
      <c r="I156" s="75" t="n"/>
      <c r="J156" s="75" t="n"/>
      <c r="K156" s="75" t="inlineStr">
        <is>
          <t>SaaS + on-prem</t>
        </is>
      </c>
      <c r="L156" s="75" t="n"/>
      <c r="M156" s="75" t="n"/>
      <c r="N156" s="75" t="inlineStr">
        <is>
          <t>Yes</t>
        </is>
      </c>
      <c r="O156" s="75" t="inlineStr">
        <is>
          <t>LDAP</t>
        </is>
      </c>
      <c r="P156" s="75" t="n"/>
      <c r="Q156" s="75" t="inlineStr">
        <is>
          <t>No</t>
        </is>
      </c>
      <c r="R156" s="75" t="n"/>
      <c r="S156" s="75" t="n"/>
      <c r="T156" s="76" t="n"/>
      <c r="U156" s="75" t="inlineStr">
        <is>
          <t>server?</t>
        </is>
      </c>
      <c r="V156" s="76" t="n"/>
      <c r="Y156" s="153" t="inlineStr">
        <is>
          <t>Global Inv - Mar 2026</t>
        </is>
      </c>
      <c r="Z156" s="153" t="inlineStr">
        <is>
          <t>Cloud file server for graphics/artwork archiving and sharing</t>
        </is>
      </c>
      <c r="AA156" s="153" t="inlineStr">
        <is>
          <t>Marketing</t>
        </is>
      </c>
      <c r="AB156" s="121">
        <f>VLOOKUP(AA156,CategorySummaryTable[],2,FALSE)</f>
        <v/>
      </c>
    </row>
    <row r="157" ht="80" customHeight="1" s="142">
      <c r="B157" s="56" t="inlineStr">
        <is>
          <t>Empower</t>
        </is>
      </c>
      <c r="C157" s="75" t="n"/>
      <c r="D157" s="75" t="inlineStr">
        <is>
          <t>Unknown</t>
        </is>
      </c>
      <c r="E157" s="75" t="inlineStr">
        <is>
          <t>Waters</t>
        </is>
      </c>
      <c r="F157" s="75" t="n"/>
      <c r="G157" s="75" t="n"/>
      <c r="H157" s="75" t="inlineStr">
        <is>
          <t>Plainsboro, (need to confirm 105)</t>
        </is>
      </c>
      <c r="I157" s="75" t="n"/>
      <c r="J157" s="75" t="n"/>
      <c r="K157" s="75" t="inlineStr">
        <is>
          <t>Desktop</t>
        </is>
      </c>
      <c r="L157" s="75" t="n"/>
      <c r="M157" s="75" t="n"/>
      <c r="N157" s="75" t="n"/>
      <c r="O157" s="75" t="n"/>
      <c r="P157" s="75" t="n"/>
      <c r="Q157" s="75" t="inlineStr">
        <is>
          <t>Y</t>
        </is>
      </c>
      <c r="R157" s="75" t="n"/>
      <c r="S157" s="75" t="n"/>
      <c r="T157" s="76" t="n"/>
      <c r="U157" s="75" t="inlineStr">
        <is>
          <t>Ask Davinia Londregan</t>
        </is>
      </c>
      <c r="V157" s="76" t="n"/>
      <c r="Y157" s="153" t="inlineStr">
        <is>
          <t>Global Inv - Mar 2026</t>
        </is>
      </c>
      <c r="Z157" s="153" t="inlineStr">
        <is>
          <t>Chromatography data system (CDS) software for lab analysis</t>
        </is>
      </c>
      <c r="AA157" s="153" t="inlineStr">
        <is>
          <t>Clinical Manufacturing Process</t>
        </is>
      </c>
      <c r="AB157" s="121">
        <f>VLOOKUP(AA157,CategorySummaryTable[],2,FALSE)</f>
        <v/>
      </c>
    </row>
    <row r="158" ht="64" customHeight="1" s="142">
      <c r="B158" s="80" t="inlineStr">
        <is>
          <t>Encase Enterprise</t>
        </is>
      </c>
      <c r="C158" s="75" t="inlineStr">
        <is>
          <t>Forensic system software</t>
        </is>
      </c>
      <c r="D158" s="75" t="inlineStr">
        <is>
          <t>Unknown</t>
        </is>
      </c>
      <c r="E158" s="75" t="inlineStr">
        <is>
          <t>Guidance Software</t>
        </is>
      </c>
      <c r="F158" s="75" t="n"/>
      <c r="G158" s="75" t="n"/>
      <c r="H158" s="75" t="n"/>
      <c r="I158" s="75" t="n"/>
      <c r="J158" s="75" t="inlineStr">
        <is>
          <t>Other</t>
        </is>
      </c>
      <c r="K158" s="75" t="n"/>
      <c r="L158" s="75" t="n"/>
      <c r="M158" s="75" t="n"/>
      <c r="N158" s="75" t="n"/>
      <c r="O158" s="75" t="n"/>
      <c r="P158" s="75" t="n"/>
      <c r="Q158" s="75" t="n"/>
      <c r="R158" s="75" t="n"/>
      <c r="S158" s="75" t="n"/>
      <c r="T158" s="76" t="n"/>
      <c r="U158" s="75" t="inlineStr">
        <is>
          <t>Matt Cerny</t>
        </is>
      </c>
      <c r="V158" s="76" t="n"/>
      <c r="Y158" s="153" t="inlineStr">
        <is>
          <t>Global Inv - Mar 2026</t>
        </is>
      </c>
      <c r="Z158" s="153" t="inlineStr">
        <is>
          <t>Digital forensics and investigation software</t>
        </is>
      </c>
      <c r="AA158" s="153" t="inlineStr">
        <is>
          <t>Cyber Security</t>
        </is>
      </c>
      <c r="AB158" s="121">
        <f>VLOOKUP(AA158,CategorySummaryTable[],2,FALSE)</f>
        <v/>
      </c>
    </row>
    <row r="159" ht="80" customHeight="1" s="142">
      <c r="B159" s="80" t="inlineStr">
        <is>
          <t>Epicor ERP</t>
        </is>
      </c>
      <c r="C159" s="75" t="inlineStr">
        <is>
          <t>enterprise resource planning (ERP) system</t>
        </is>
      </c>
      <c r="D159" s="75" t="inlineStr">
        <is>
          <t>Unknown</t>
        </is>
      </c>
      <c r="E159" s="75" t="inlineStr">
        <is>
          <t>Epicor</t>
        </is>
      </c>
      <c r="F159" s="75" t="n"/>
      <c r="G159" s="75" t="n"/>
      <c r="H159" s="75" t="n"/>
      <c r="I159" s="75" t="n"/>
      <c r="J159" s="75" t="inlineStr">
        <is>
          <t>Other</t>
        </is>
      </c>
      <c r="K159" s="75" t="n"/>
      <c r="L159" s="75" t="n"/>
      <c r="M159" s="75" t="n"/>
      <c r="N159" s="75" t="n"/>
      <c r="O159" s="75" t="n"/>
      <c r="P159" s="75" t="n"/>
      <c r="Q159" s="75" t="n"/>
      <c r="R159" s="75" t="n"/>
      <c r="S159" s="75" t="n"/>
      <c r="T159" s="76" t="n"/>
      <c r="U159" s="75" t="inlineStr">
        <is>
          <t>Brian Sherfey</t>
        </is>
      </c>
      <c r="V159" s="76" t="n"/>
      <c r="Y159" s="153" t="inlineStr">
        <is>
          <t>Global Inv - Mar 2026</t>
        </is>
      </c>
      <c r="Z159" s="153" t="inlineStr">
        <is>
          <t>Enterprise resource planning (ERP) software</t>
        </is>
      </c>
      <c r="AA159" s="153" t="inlineStr">
        <is>
          <t>Finance</t>
        </is>
      </c>
      <c r="AB159" s="121">
        <f>VLOOKUP(AA159,CategorySummaryTable[],2,FALSE)</f>
        <v/>
      </c>
    </row>
    <row r="160" ht="80" customHeight="1" s="142">
      <c r="B160" s="80" t="inlineStr">
        <is>
          <t>Epicor Maintenance</t>
        </is>
      </c>
      <c r="C160" s="75" t="inlineStr">
        <is>
          <t>Enterprise mantainence management</t>
        </is>
      </c>
      <c r="D160" s="75" t="inlineStr">
        <is>
          <t>Unknown</t>
        </is>
      </c>
      <c r="E160" s="75" t="inlineStr">
        <is>
          <t>Epicor</t>
        </is>
      </c>
      <c r="F160" s="75" t="n"/>
      <c r="G160" s="75" t="n"/>
      <c r="H160" s="75" t="n"/>
      <c r="I160" s="75" t="n"/>
      <c r="J160" s="75" t="n"/>
      <c r="K160" s="75" t="n"/>
      <c r="L160" s="75" t="n"/>
      <c r="M160" s="75" t="n"/>
      <c r="N160" s="75" t="n"/>
      <c r="O160" s="75" t="n"/>
      <c r="P160" s="75" t="n"/>
      <c r="Q160" s="75" t="n"/>
      <c r="R160" s="75" t="n"/>
      <c r="S160" s="75" t="n"/>
      <c r="T160" s="76" t="n"/>
      <c r="U160" s="75" t="inlineStr">
        <is>
          <t>Brian Sherfey</t>
        </is>
      </c>
      <c r="V160" s="76" t="n"/>
      <c r="Y160" s="153" t="inlineStr">
        <is>
          <t>Global Inv - Mar 2026</t>
        </is>
      </c>
      <c r="Z160" s="153" t="inlineStr">
        <is>
          <t>Enterprise maintenance management software</t>
        </is>
      </c>
      <c r="AA160" s="153" t="inlineStr">
        <is>
          <t>Finance</t>
        </is>
      </c>
      <c r="AB160" s="121">
        <f>VLOOKUP(AA160,CategorySummaryTable[],2,FALSE)</f>
        <v/>
      </c>
    </row>
    <row r="161" ht="80" customHeight="1" s="142">
      <c r="B161" s="80" t="inlineStr">
        <is>
          <t>Epicor Report Wizard</t>
        </is>
      </c>
      <c r="C161" s="75" t="inlineStr">
        <is>
          <t>financial records?</t>
        </is>
      </c>
      <c r="D161" s="75" t="inlineStr">
        <is>
          <t>Unknown</t>
        </is>
      </c>
      <c r="E161" s="75" t="inlineStr">
        <is>
          <t>Epicor</t>
        </is>
      </c>
      <c r="F161" s="75" t="n"/>
      <c r="G161" s="75" t="n"/>
      <c r="H161" s="75" t="n"/>
      <c r="I161" s="75" t="n"/>
      <c r="J161" s="75" t="inlineStr">
        <is>
          <t>Other</t>
        </is>
      </c>
      <c r="K161" s="75" t="n"/>
      <c r="L161" s="75" t="n"/>
      <c r="M161" s="75" t="n"/>
      <c r="N161" s="75" t="n"/>
      <c r="O161" s="75" t="n"/>
      <c r="P161" s="75" t="n"/>
      <c r="Q161" s="75" t="n"/>
      <c r="R161" s="75" t="n"/>
      <c r="S161" s="75" t="n"/>
      <c r="T161" s="76" t="n"/>
      <c r="U161" s="75" t="inlineStr">
        <is>
          <t>Brian Sherfey</t>
        </is>
      </c>
      <c r="V161" s="76" t="n"/>
      <c r="Y161" s="153" t="inlineStr">
        <is>
          <t>Global Inv - Mar 2026</t>
        </is>
      </c>
      <c r="Z161" s="153" t="inlineStr">
        <is>
          <t>ERP reporting tool</t>
        </is>
      </c>
      <c r="AA161" s="153" t="inlineStr">
        <is>
          <t>Finance</t>
        </is>
      </c>
      <c r="AB161" s="121">
        <f>VLOOKUP(AA161,CategorySummaryTable[],2,FALSE)</f>
        <v/>
      </c>
    </row>
    <row r="162" ht="80" customHeight="1" s="142">
      <c r="B162" s="53" t="inlineStr">
        <is>
          <t>EQUITY EDGE ONLINE (HR stock option eTRADE)</t>
        </is>
      </c>
      <c r="C162" s="75" t="inlineStr">
        <is>
          <t>Mythili not responding</t>
        </is>
      </c>
      <c r="D162" s="75" t="inlineStr">
        <is>
          <t>Active</t>
        </is>
      </c>
      <c r="E162" s="75" t="inlineStr">
        <is>
          <t>etrade</t>
        </is>
      </c>
      <c r="F162" s="75" t="n"/>
      <c r="G162" s="75" t="n"/>
      <c r="H162" s="75" t="inlineStr">
        <is>
          <t>Plainsboro Corp</t>
        </is>
      </c>
      <c r="I162" s="75" t="n"/>
      <c r="J162" s="75" t="inlineStr">
        <is>
          <t>Other</t>
        </is>
      </c>
      <c r="K162" s="75" t="inlineStr">
        <is>
          <t>SaaS</t>
        </is>
      </c>
      <c r="L162" s="75" t="n"/>
      <c r="M162" s="75" t="n"/>
      <c r="N162" s="75" t="n"/>
      <c r="O162" s="75" t="n"/>
      <c r="P162" s="75" t="n"/>
      <c r="Q162" s="75" t="inlineStr">
        <is>
          <t>No</t>
        </is>
      </c>
      <c r="R162" s="75" t="n"/>
      <c r="S162" s="75" t="n"/>
      <c r="T162" s="76" t="n"/>
      <c r="U162" s="75" t="n"/>
      <c r="V162" s="76" t="n"/>
      <c r="Y162" s="153" t="inlineStr">
        <is>
          <t>Global Inv - Mar 2026</t>
        </is>
      </c>
      <c r="Z162" s="153" t="inlineStr">
        <is>
          <t>Stock plan and equity compensation administration software</t>
        </is>
      </c>
      <c r="AA162" s="153" t="inlineStr">
        <is>
          <t>Human Resources and Talent</t>
        </is>
      </c>
      <c r="AB162" s="121">
        <f>VLOOKUP(AA162,CategorySummaryTable[],2,FALSE)</f>
        <v/>
      </c>
    </row>
    <row r="163" ht="64" customHeight="1" s="142">
      <c r="B163" s="77" t="inlineStr">
        <is>
          <t>ESAS MS ACCESS</t>
        </is>
      </c>
      <c r="C163" s="75" t="n"/>
      <c r="D163" s="75" t="inlineStr">
        <is>
          <t>Unknown</t>
        </is>
      </c>
      <c r="E163" s="75" t="inlineStr">
        <is>
          <t>Microsoft</t>
        </is>
      </c>
      <c r="F163" s="75" t="n"/>
      <c r="G163" s="75" t="n"/>
      <c r="H163" s="75" t="inlineStr">
        <is>
          <t>All EU</t>
        </is>
      </c>
      <c r="I163" s="75" t="inlineStr">
        <is>
          <t>Yes</t>
        </is>
      </c>
      <c r="J163" s="75" t="n"/>
      <c r="K163" s="75" t="inlineStr">
        <is>
          <t>On Premises (Client/Server)</t>
        </is>
      </c>
      <c r="L163" s="75" t="n"/>
      <c r="M163" s="75" t="n"/>
      <c r="N163" s="75" t="n"/>
      <c r="O163" s="75" t="n"/>
      <c r="P163" s="75" t="n"/>
      <c r="Q163" s="75" t="inlineStr">
        <is>
          <t>N</t>
        </is>
      </c>
      <c r="R163" s="75" t="n"/>
      <c r="S163" s="75" t="n"/>
      <c r="T163" s="76" t="n"/>
      <c r="U163" s="75" t="inlineStr">
        <is>
          <t>Daniel Marabotti</t>
        </is>
      </c>
      <c r="V163" s="76" t="n"/>
      <c r="Y163" s="153" t="inlineStr">
        <is>
          <t>Global Inv - Mar 2026</t>
        </is>
      </c>
      <c r="Z163" s="153" t="inlineStr">
        <is>
          <t>NA</t>
        </is>
      </c>
      <c r="AA163" s="153" t="inlineStr">
        <is>
          <t>IT Operations</t>
        </is>
      </c>
      <c r="AB163" s="121">
        <f>VLOOKUP(AA163,CategorySummaryTable[],2,FALSE)</f>
        <v/>
      </c>
    </row>
    <row r="164" ht="64" customHeight="1" s="142">
      <c r="B164" s="56" t="inlineStr">
        <is>
          <t>ETAFI [Etats Financiers Financial Reports Interface - J.D. Edwards (for France) or Enterprise Test Automation Framework integrated]</t>
        </is>
      </c>
      <c r="C164" s="75" t="n"/>
      <c r="D164" s="75" t="inlineStr">
        <is>
          <t>Unknown</t>
        </is>
      </c>
      <c r="E164" s="75" t="inlineStr">
        <is>
          <t>Oracle</t>
        </is>
      </c>
      <c r="F164" s="75" t="n"/>
      <c r="G164" s="75" t="n"/>
      <c r="H164" s="75" t="inlineStr">
        <is>
          <t>BIOT</t>
        </is>
      </c>
      <c r="I164" s="75" t="inlineStr">
        <is>
          <t>Yes</t>
        </is>
      </c>
      <c r="J164" s="75" t="n"/>
      <c r="K164" s="75" t="inlineStr">
        <is>
          <t>On Premises (Client/Server)</t>
        </is>
      </c>
      <c r="L164" s="75" t="n"/>
      <c r="M164" s="75" t="n"/>
      <c r="N164" s="75" t="n"/>
      <c r="O164" s="75" t="n"/>
      <c r="P164" s="75" t="n"/>
      <c r="Q164" s="75" t="inlineStr">
        <is>
          <t>N</t>
        </is>
      </c>
      <c r="R164" s="75" t="n"/>
      <c r="S164" s="75" t="n"/>
      <c r="T164" s="76" t="n"/>
      <c r="U164" s="75" t="inlineStr">
        <is>
          <t>Daniel Marabotti</t>
        </is>
      </c>
      <c r="V164" s="76" t="n"/>
      <c r="Y164" s="153" t="inlineStr">
        <is>
          <t>Global Inv - Mar 2026</t>
        </is>
      </c>
      <c r="Z164" s="153" t="inlineStr">
        <is>
          <t>French statutory tax and financial reporting software</t>
        </is>
      </c>
      <c r="AA164" s="153" t="inlineStr">
        <is>
          <t>IT Operations</t>
        </is>
      </c>
      <c r="AB164" s="121">
        <f>VLOOKUP(AA164,CategorySummaryTable[],2,FALSE)</f>
        <v/>
      </c>
    </row>
    <row r="165" ht="80" customHeight="1" s="142">
      <c r="B165" s="83" t="inlineStr">
        <is>
          <t>Ethics Point</t>
        </is>
      </c>
      <c r="C165" s="75" t="n"/>
      <c r="D165" s="75" t="inlineStr">
        <is>
          <t>Survey Complete with Improvement Opps</t>
        </is>
      </c>
      <c r="E165" s="75" t="n"/>
      <c r="F165" s="75" t="n"/>
      <c r="G165" s="75" t="n"/>
      <c r="H165" s="75" t="n"/>
      <c r="I165" s="75" t="n"/>
      <c r="J165" s="75" t="n"/>
      <c r="K165" s="75" t="n"/>
      <c r="L165" s="75" t="n"/>
      <c r="M165" s="75" t="n"/>
      <c r="N165" s="75" t="n"/>
      <c r="O165" s="75" t="n"/>
      <c r="P165" s="75" t="n"/>
      <c r="Q165" s="75" t="n"/>
      <c r="R165" s="75" t="n"/>
      <c r="S165" s="75" t="n"/>
      <c r="T165" s="76" t="n"/>
      <c r="U165" s="75" t="inlineStr">
        <is>
          <t>Tracy Redondo</t>
        </is>
      </c>
      <c r="V165" s="76" t="n"/>
      <c r="Y165" s="153" t="inlineStr">
        <is>
          <t>Global Inv - Mar 2026</t>
        </is>
      </c>
      <c r="Z165" s="153" t="inlineStr">
        <is>
          <t>Whistleblower hotline and incident/compliance management software</t>
        </is>
      </c>
      <c r="AA165" s="153" t="inlineStr">
        <is>
          <t>Compliance and Risk</t>
        </is>
      </c>
      <c r="AB165" s="121">
        <f>VLOOKUP(AA165,CategorySummaryTable[],2,FALSE)</f>
        <v/>
      </c>
    </row>
    <row r="166" ht="80" customHeight="1" s="142">
      <c r="B166" s="77" t="inlineStr">
        <is>
          <t>ETQ (active) and Surgisoft (retired ?)</t>
        </is>
      </c>
      <c r="C166" s="75" t="inlineStr">
        <is>
          <t>This data is historical data from J&amp;J CODMAN ETQ application. This data will be used for doing analysis and respond to any audit requirement. host and report Surgisoft historical data</t>
        </is>
      </c>
      <c r="D166" s="75" t="inlineStr">
        <is>
          <t>Unknown</t>
        </is>
      </c>
      <c r="E166" s="75" t="n"/>
      <c r="F166" s="75" t="n"/>
      <c r="G166" s="75" t="inlineStr">
        <is>
          <t>Enterprise</t>
        </is>
      </c>
      <c r="H166" s="75" t="n"/>
      <c r="I166" s="75" t="inlineStr">
        <is>
          <t>Yes</t>
        </is>
      </c>
      <c r="J166" s="75" t="n"/>
      <c r="K166" s="75" t="inlineStr">
        <is>
          <t>On Premises (Client/Server)</t>
        </is>
      </c>
      <c r="L166" s="75" t="n"/>
      <c r="M166" s="75" t="n"/>
      <c r="N166" s="75" t="n"/>
      <c r="O166" s="75" t="n"/>
      <c r="P166" s="75" t="n"/>
      <c r="Q166" s="75" t="inlineStr">
        <is>
          <t>Yes</t>
        </is>
      </c>
      <c r="R166" s="75" t="n">
        <v>5</v>
      </c>
      <c r="S166" s="75" t="n"/>
      <c r="T166" s="76" t="n"/>
      <c r="U166" s="75" t="n"/>
      <c r="V166" s="76" t="n"/>
      <c r="Y166" s="153" t="inlineStr">
        <is>
          <t>Global Inv - Mar 2026</t>
        </is>
      </c>
      <c r="Z166" s="153" t="inlineStr">
        <is>
          <t>Quality management system (QMS) software</t>
        </is>
      </c>
      <c r="AA166" s="153" t="inlineStr">
        <is>
          <t>Quality and Validation</t>
        </is>
      </c>
      <c r="AB166" s="121">
        <f>VLOOKUP(AA166,CategorySummaryTable[],2,FALSE)</f>
        <v/>
      </c>
    </row>
    <row r="167" ht="80" customHeight="1" s="142">
      <c r="B167" s="80" t="inlineStr">
        <is>
          <t>ETQ and Surgisoft</t>
        </is>
      </c>
      <c r="C167" s="75" t="n"/>
      <c r="D167" s="75" t="inlineStr">
        <is>
          <t>Unknown</t>
        </is>
      </c>
      <c r="E167" s="75" t="n"/>
      <c r="F167" s="75" t="n"/>
      <c r="G167" s="75" t="inlineStr">
        <is>
          <t>Enterprise</t>
        </is>
      </c>
      <c r="H167" s="75" t="n"/>
      <c r="I167" s="75" t="inlineStr">
        <is>
          <t>Yes</t>
        </is>
      </c>
      <c r="J167" s="75" t="n"/>
      <c r="K167" s="75" t="n"/>
      <c r="L167" s="75" t="n"/>
      <c r="M167" s="75" t="n"/>
      <c r="N167" s="75" t="n"/>
      <c r="O167" s="75" t="n"/>
      <c r="P167" s="75" t="n"/>
      <c r="Q167" s="75" t="inlineStr">
        <is>
          <t>Yes</t>
        </is>
      </c>
      <c r="R167" s="75" t="n">
        <v>5</v>
      </c>
      <c r="S167" s="75" t="n"/>
      <c r="T167" s="76" t="n"/>
      <c r="U167" s="75" t="inlineStr">
        <is>
          <t>John O'Callaghan</t>
        </is>
      </c>
      <c r="V167" s="76" t="n"/>
      <c r="Y167" s="153" t="inlineStr">
        <is>
          <t>Global Inv - Mar 2026</t>
        </is>
      </c>
      <c r="Z167" s="153" t="inlineStr">
        <is>
          <t>Quality management system (QMS) software</t>
        </is>
      </c>
      <c r="AA167" s="153" t="inlineStr">
        <is>
          <t>Quality and Validation</t>
        </is>
      </c>
      <c r="AB167" s="121">
        <f>VLOOKUP(AA167,CategorySummaryTable[],2,FALSE)</f>
        <v/>
      </c>
    </row>
    <row r="168" ht="96" customHeight="1" s="142">
      <c r="B168" s="100" t="inlineStr">
        <is>
          <t>European Pharmacopoia (https://pheur.edqm.eu)</t>
        </is>
      </c>
      <c r="C168" s="75" t="inlineStr">
        <is>
          <t>Major regional pharmacopoeia which provides common quality standards throughout the pharmaceutical industry in Europe to control the quality of medicines, and the substances used to manufacture them.</t>
        </is>
      </c>
      <c r="D168" s="75" t="inlineStr">
        <is>
          <t>Active</t>
        </is>
      </c>
      <c r="E168" s="75" t="inlineStr">
        <is>
          <t>EDQM</t>
        </is>
      </c>
      <c r="F168" s="75" t="n"/>
      <c r="G168" s="75" t="n"/>
      <c r="H168" s="75" t="inlineStr">
        <is>
          <t>Anasco, Le Locle</t>
        </is>
      </c>
      <c r="I168" s="75" t="n"/>
      <c r="J168" s="75" t="inlineStr">
        <is>
          <t>Other</t>
        </is>
      </c>
      <c r="K168" s="75" t="inlineStr">
        <is>
          <t>Web</t>
        </is>
      </c>
      <c r="L168" s="75" t="n"/>
      <c r="M168" s="75" t="inlineStr">
        <is>
          <t>No</t>
        </is>
      </c>
      <c r="N168" s="75" t="n"/>
      <c r="O168" s="75" t="n"/>
      <c r="P168" s="75" t="inlineStr">
        <is>
          <t>T4</t>
        </is>
      </c>
      <c r="Q168" s="75" t="inlineStr">
        <is>
          <t>No</t>
        </is>
      </c>
      <c r="R168" s="75" t="n"/>
      <c r="S168" s="75" t="inlineStr">
        <is>
          <t>Sara Oberrecht</t>
        </is>
      </c>
      <c r="T168" s="76" t="n">
        <v>44270</v>
      </c>
      <c r="U168" s="75" t="inlineStr">
        <is>
          <t>3/15/21 via Sara Oberrecht</t>
        </is>
      </c>
      <c r="V168" s="76" t="n">
        <v>44270</v>
      </c>
      <c r="Y168" s="153" t="inlineStr">
        <is>
          <t>Global Inv - Mar 2026</t>
        </is>
      </c>
      <c r="Z168" s="153" t="inlineStr">
        <is>
          <t>Regional pharmacopoeia of pharmaceutical quality standards</t>
        </is>
      </c>
      <c r="AA168" s="153" t="inlineStr">
        <is>
          <t>Regulatory Affairs</t>
        </is>
      </c>
      <c r="AB168" s="121">
        <f>VLOOKUP(AA168,CategorySummaryTable[],2,FALSE)</f>
        <v/>
      </c>
    </row>
    <row r="169" ht="80" customHeight="1" s="142">
      <c r="B169" s="56" t="inlineStr">
        <is>
          <t>Eurydice</t>
        </is>
      </c>
      <c r="C169" s="75" t="n"/>
      <c r="D169" s="75" t="inlineStr">
        <is>
          <t>Survey Complete with Improvement Opps</t>
        </is>
      </c>
      <c r="E169" s="75" t="inlineStr">
        <is>
          <t>Pharmatic</t>
        </is>
      </c>
      <c r="F169" s="75" t="n"/>
      <c r="G169" s="75" t="n"/>
      <c r="H169" s="75" t="inlineStr">
        <is>
          <t>Lyon</t>
        </is>
      </c>
      <c r="I169" s="75" t="n"/>
      <c r="J169" s="75" t="n"/>
      <c r="K169" s="75" t="inlineStr">
        <is>
          <t>Desktop</t>
        </is>
      </c>
      <c r="L169" s="75" t="n"/>
      <c r="M169" s="75" t="n"/>
      <c r="N169" s="75" t="n"/>
      <c r="O169" s="75" t="n"/>
      <c r="P169" s="75" t="n"/>
      <c r="Q169" s="75" t="inlineStr">
        <is>
          <t>N</t>
        </is>
      </c>
      <c r="R169" s="75" t="n"/>
      <c r="S169" s="75" t="n"/>
      <c r="T169" s="76" t="n"/>
      <c r="U169" s="75" t="n"/>
      <c r="V169" s="76" t="n"/>
      <c r="Y169" s="153" t="inlineStr">
        <is>
          <t>Global Inv - Mar 2026</t>
        </is>
      </c>
      <c r="Z169" s="153" t="inlineStr">
        <is>
          <t>Pharmaceutical tender and procurement management software</t>
        </is>
      </c>
      <c r="AA169" s="153" t="inlineStr">
        <is>
          <t>Manufacturing</t>
        </is>
      </c>
      <c r="AB169" s="121">
        <f>VLOOKUP(AA169,CategorySummaryTable[],2,FALSE)</f>
        <v/>
      </c>
    </row>
    <row r="170" ht="80" customHeight="1" s="142">
      <c r="B170" s="80" t="inlineStr">
        <is>
          <t>Exact Globe</t>
        </is>
      </c>
      <c r="C170" s="75" t="inlineStr">
        <is>
          <t>Finance and ERP (enterprise resourse planning) software</t>
        </is>
      </c>
      <c r="D170" s="75" t="inlineStr">
        <is>
          <t>Unknown</t>
        </is>
      </c>
      <c r="E170" s="75" t="inlineStr">
        <is>
          <t>Exact</t>
        </is>
      </c>
      <c r="F170" s="75" t="n"/>
      <c r="G170" s="75" t="n"/>
      <c r="H170" s="75" t="n"/>
      <c r="I170" s="75" t="n"/>
      <c r="J170" s="75" t="inlineStr">
        <is>
          <t>Other</t>
        </is>
      </c>
      <c r="K170" s="75" t="n"/>
      <c r="L170" s="75" t="n"/>
      <c r="M170" s="75" t="n"/>
      <c r="N170" s="75" t="n"/>
      <c r="O170" s="75" t="n"/>
      <c r="P170" s="75" t="n"/>
      <c r="Q170" s="75" t="n"/>
      <c r="R170" s="75" t="n"/>
      <c r="S170" s="75" t="n"/>
      <c r="T170" s="76" t="n"/>
      <c r="U170" s="75" t="inlineStr">
        <is>
          <t>George Groom</t>
        </is>
      </c>
      <c r="V170" s="76" t="n"/>
      <c r="Y170" s="153" t="inlineStr">
        <is>
          <t>Global Inv - Mar 2026</t>
        </is>
      </c>
      <c r="Z170" s="153" t="inlineStr">
        <is>
          <t>Finance and enterprise resource planning (ERP) software</t>
        </is>
      </c>
      <c r="AA170" s="153" t="inlineStr">
        <is>
          <t>Finance</t>
        </is>
      </c>
      <c r="AB170" s="121">
        <f>VLOOKUP(AA170,CategorySummaryTable[],2,FALSE)</f>
        <v/>
      </c>
    </row>
    <row r="171" ht="64" customHeight="1" s="142">
      <c r="B171" s="80" t="inlineStr">
        <is>
          <t>Excel LTR Application</t>
        </is>
      </c>
      <c r="C171" s="87" t="n"/>
      <c r="D171" s="87" t="n"/>
      <c r="E171" s="88" t="n"/>
      <c r="F171" s="87" t="n"/>
      <c r="G171" s="88" t="n"/>
      <c r="H171" s="88" t="n"/>
      <c r="I171" s="88" t="n"/>
      <c r="J171" s="88" t="n"/>
      <c r="K171" s="88" t="n"/>
      <c r="L171" s="88" t="n"/>
      <c r="M171" s="88" t="n"/>
      <c r="N171" s="88" t="n"/>
      <c r="O171" s="88" t="n"/>
      <c r="P171" s="88" t="n"/>
      <c r="Q171" s="88" t="inlineStr">
        <is>
          <t>Yes</t>
        </is>
      </c>
      <c r="R171" s="88" t="n">
        <v>5</v>
      </c>
      <c r="S171" s="87" t="inlineStr">
        <is>
          <t>Kevin McParland</t>
        </is>
      </c>
      <c r="T171" s="89" t="n">
        <v>44693</v>
      </c>
      <c r="U171" s="87" t="n"/>
      <c r="V171" s="89" t="n"/>
      <c r="Y171" s="153" t="inlineStr">
        <is>
          <t>Global Inv - Mar 2026</t>
        </is>
      </c>
      <c r="Z171" s="153" t="inlineStr">
        <is>
          <t>NA</t>
        </is>
      </c>
      <c r="AA171" s="153" t="inlineStr">
        <is>
          <t>IT Operations</t>
        </is>
      </c>
      <c r="AB171" s="121">
        <f>VLOOKUP(AA171,CategorySummaryTable[],2,FALSE)</f>
        <v/>
      </c>
    </row>
    <row r="172" ht="64" customHeight="1" s="142">
      <c r="B172" s="80" t="inlineStr">
        <is>
          <t>Exchange</t>
        </is>
      </c>
      <c r="C172" s="75" t="inlineStr">
        <is>
          <t>Relay server on Prem - for Oracle primarly. Minimum impact during the weekend.</t>
        </is>
      </c>
      <c r="D172" s="75" t="inlineStr">
        <is>
          <t>Unknown</t>
        </is>
      </c>
      <c r="E172" s="75" t="inlineStr">
        <is>
          <t>Microsoft</t>
        </is>
      </c>
      <c r="F172" s="75" t="n"/>
      <c r="G172" s="75" t="inlineStr">
        <is>
          <t>Enterprise</t>
        </is>
      </c>
      <c r="H172" s="75" t="n"/>
      <c r="I172" s="75" t="inlineStr">
        <is>
          <t>Yes</t>
        </is>
      </c>
      <c r="J172" s="75" t="n"/>
      <c r="K172" s="75" t="n"/>
      <c r="L172" s="75" t="n"/>
      <c r="M172" s="75" t="n"/>
      <c r="N172" s="75" t="n"/>
      <c r="O172" s="75" t="n"/>
      <c r="P172" s="75" t="n"/>
      <c r="Q172" s="75" t="inlineStr">
        <is>
          <t>No</t>
        </is>
      </c>
      <c r="R172" s="75" t="n"/>
      <c r="S172" s="75" t="n"/>
      <c r="T172" s="76" t="n"/>
      <c r="U172" s="75" t="inlineStr">
        <is>
          <t>server?</t>
        </is>
      </c>
      <c r="V172" s="76" t="n"/>
      <c r="Y172" s="153" t="inlineStr">
        <is>
          <t>Global Inv - Mar 2026</t>
        </is>
      </c>
      <c r="Z172" s="153" t="inlineStr">
        <is>
          <t>Email and messaging server software</t>
        </is>
      </c>
      <c r="AA172" s="153" t="inlineStr">
        <is>
          <t>IT Operations</t>
        </is>
      </c>
      <c r="AB172" s="121">
        <f>VLOOKUP(AA172,CategorySummaryTable[],2,FALSE)</f>
        <v/>
      </c>
    </row>
    <row r="173" ht="64" customHeight="1" s="142">
      <c r="B173" s="80" t="inlineStr">
        <is>
          <t>Exchange 2003</t>
        </is>
      </c>
      <c r="C173" s="75" t="inlineStr">
        <is>
          <t>collection of applications that enable digital messaging and collaboration in an enterprise IT environment.</t>
        </is>
      </c>
      <c r="D173" s="75" t="inlineStr">
        <is>
          <t>Unknown</t>
        </is>
      </c>
      <c r="E173" s="75" t="inlineStr">
        <is>
          <t>Microsoft</t>
        </is>
      </c>
      <c r="F173" s="75" t="n"/>
      <c r="G173" s="75" t="n"/>
      <c r="H173" s="75" t="n"/>
      <c r="I173" s="75" t="n"/>
      <c r="J173" s="75" t="inlineStr">
        <is>
          <t>Other</t>
        </is>
      </c>
      <c r="K173" s="75" t="n"/>
      <c r="L173" s="75" t="n"/>
      <c r="M173" s="75" t="n"/>
      <c r="N173" s="75" t="n"/>
      <c r="O173" s="75" t="n"/>
      <c r="P173" s="75" t="n"/>
      <c r="Q173" s="75" t="n"/>
      <c r="R173" s="75" t="n"/>
      <c r="S173" s="75" t="n"/>
      <c r="T173" s="76" t="n"/>
      <c r="U173" s="75" t="inlineStr">
        <is>
          <t>Decommissioned</t>
        </is>
      </c>
      <c r="V173" s="76" t="n"/>
      <c r="Y173" s="153" t="inlineStr">
        <is>
          <t>Global Inv - Mar 2026</t>
        </is>
      </c>
      <c r="Z173" s="153" t="inlineStr">
        <is>
          <t>Email and messaging server software</t>
        </is>
      </c>
      <c r="AA173" s="153" t="inlineStr">
        <is>
          <t>IT Operations</t>
        </is>
      </c>
      <c r="AB173" s="121">
        <f>VLOOKUP(AA173,CategorySummaryTable[],2,FALSE)</f>
        <v/>
      </c>
    </row>
    <row r="174" ht="80" customHeight="1" s="142">
      <c r="B174" s="80" t="inlineStr">
        <is>
          <t>ExpenseWatch</t>
        </is>
      </c>
      <c r="C174" s="75" t="inlineStr">
        <is>
          <t>modules for Expense Reports, Purchasing and Payable Invoices</t>
        </is>
      </c>
      <c r="D174" s="75" t="inlineStr">
        <is>
          <t>Unknown</t>
        </is>
      </c>
      <c r="E174" s="75" t="inlineStr">
        <is>
          <t>ExpenseWatch.com</t>
        </is>
      </c>
      <c r="F174" s="75" t="n"/>
      <c r="G174" s="75" t="n"/>
      <c r="H174" s="75" t="n"/>
      <c r="I174" s="75" t="n"/>
      <c r="J174" s="75" t="inlineStr">
        <is>
          <t>Other</t>
        </is>
      </c>
      <c r="K174" s="75" t="n"/>
      <c r="L174" s="75" t="n"/>
      <c r="M174" s="75" t="n"/>
      <c r="N174" s="75" t="n"/>
      <c r="O174" s="75" t="n"/>
      <c r="P174" s="75" t="n"/>
      <c r="Q174" s="75" t="n"/>
      <c r="R174" s="75" t="n"/>
      <c r="S174" s="75" t="n"/>
      <c r="T174" s="76" t="n"/>
      <c r="U174" s="75" t="inlineStr">
        <is>
          <t>Eileen Galager</t>
        </is>
      </c>
      <c r="V174" s="76" t="n"/>
      <c r="Y174" s="153" t="inlineStr">
        <is>
          <t>Global Inv - Mar 2026</t>
        </is>
      </c>
      <c r="Z174" s="153" t="inlineStr">
        <is>
          <t>Expense, purchasing, and invoice management software</t>
        </is>
      </c>
      <c r="AA174" s="153" t="inlineStr">
        <is>
          <t>Finance</t>
        </is>
      </c>
      <c r="AB174" s="121">
        <f>VLOOKUP(AA174,CategorySummaryTable[],2,FALSE)</f>
        <v/>
      </c>
    </row>
    <row r="175" ht="80" customHeight="1" s="142">
      <c r="B175" s="80" t="inlineStr">
        <is>
          <t>Facili Works</t>
        </is>
      </c>
      <c r="C175" s="75" t="n"/>
      <c r="D175" s="75" t="inlineStr">
        <is>
          <t>Unknown</t>
        </is>
      </c>
      <c r="E175" s="75" t="inlineStr">
        <is>
          <t>CyberMetrics</t>
        </is>
      </c>
      <c r="F175" s="75" t="n"/>
      <c r="G175" s="75" t="n"/>
      <c r="H175" s="75" t="n"/>
      <c r="I175" s="75" t="n"/>
      <c r="J175" s="75" t="inlineStr">
        <is>
          <t>Other</t>
        </is>
      </c>
      <c r="K175" s="75" t="n"/>
      <c r="L175" s="75" t="n"/>
      <c r="M175" s="75" t="n"/>
      <c r="N175" s="75" t="n"/>
      <c r="O175" s="75" t="n"/>
      <c r="P175" s="75" t="n"/>
      <c r="Q175" s="75" t="n"/>
      <c r="R175" s="75" t="n"/>
      <c r="S175" s="75" t="n"/>
      <c r="T175" s="76" t="n"/>
      <c r="U175" s="75" t="inlineStr">
        <is>
          <t>Karen Furlong</t>
        </is>
      </c>
      <c r="V175" s="76" t="n"/>
      <c r="Y175" s="153" t="inlineStr">
        <is>
          <t>Global Inv - Mar 2026</t>
        </is>
      </c>
      <c r="Z175" s="153" t="inlineStr">
        <is>
          <t>Computerized maintenance management system (CMMS) software</t>
        </is>
      </c>
      <c r="AA175" s="153" t="inlineStr">
        <is>
          <t>Quality and Validation</t>
        </is>
      </c>
      <c r="AB175" s="121">
        <f>VLOOKUP(AA175,CategorySummaryTable[],2,FALSE)</f>
        <v/>
      </c>
    </row>
    <row r="176" ht="96" customHeight="1" s="142">
      <c r="B176" s="90" t="inlineStr">
        <is>
          <t>FedEX Ship manager</t>
        </is>
      </c>
      <c r="C176" s="75" t="inlineStr">
        <is>
          <t>Shipping</t>
        </is>
      </c>
      <c r="D176" s="75" t="inlineStr">
        <is>
          <t>Active</t>
        </is>
      </c>
      <c r="E176" s="75" t="inlineStr">
        <is>
          <t>FedEX</t>
        </is>
      </c>
      <c r="F176" s="75" t="n"/>
      <c r="G176" s="75" t="n"/>
      <c r="H176" s="75" t="inlineStr">
        <is>
          <t>Cincinnati, St Paul, Plainsboro</t>
        </is>
      </c>
      <c r="I176" s="75" t="inlineStr">
        <is>
          <t>Yes</t>
        </is>
      </c>
      <c r="J176" s="75" t="n"/>
      <c r="K176" s="75" t="inlineStr">
        <is>
          <t>Desktop</t>
        </is>
      </c>
      <c r="L176" s="75" t="n"/>
      <c r="M176" s="75" t="n"/>
      <c r="N176" s="75" t="n"/>
      <c r="O176" s="75" t="n"/>
      <c r="P176" s="75" t="n"/>
      <c r="Q176" s="75" t="inlineStr">
        <is>
          <t>No</t>
        </is>
      </c>
      <c r="R176" s="75" t="n"/>
      <c r="S176" s="75" t="inlineStr">
        <is>
          <t>Michael Patterson</t>
        </is>
      </c>
      <c r="T176" s="76" t="n">
        <v>44516</v>
      </c>
      <c r="U176" s="75" t="inlineStr">
        <is>
          <t>Verified via Michael Patterson</t>
        </is>
      </c>
      <c r="V176" s="76" t="n">
        <v>44516</v>
      </c>
      <c r="Y176" s="153" t="inlineStr">
        <is>
          <t>Global Inv - Mar 2026</t>
        </is>
      </c>
      <c r="Z176" s="153" t="inlineStr">
        <is>
          <t>Shipping and parcel management software</t>
        </is>
      </c>
      <c r="AA176" s="153" t="inlineStr">
        <is>
          <t>Supply Chain and Distribution</t>
        </is>
      </c>
      <c r="AB176" s="121">
        <f>VLOOKUP(AA176,CategorySummaryTable[],2,FALSE)</f>
        <v/>
      </c>
    </row>
    <row r="177" ht="64" customHeight="1" s="142">
      <c r="B177" s="83" t="inlineStr">
        <is>
          <t>File Director</t>
        </is>
      </c>
      <c r="C177" s="75" t="inlineStr">
        <is>
          <t>OneDrive duplicate?</t>
        </is>
      </c>
      <c r="D177" s="75" t="inlineStr">
        <is>
          <t>Survey Complete</t>
        </is>
      </c>
      <c r="E177" s="75" t="inlineStr">
        <is>
          <t>C2S</t>
        </is>
      </c>
      <c r="F177" s="75" t="n"/>
      <c r="G177" s="75" t="n"/>
      <c r="H177" s="75" t="inlineStr">
        <is>
          <t>Dublin, Biot, Ratingen</t>
        </is>
      </c>
      <c r="I177" s="75" t="inlineStr">
        <is>
          <t>Yes</t>
        </is>
      </c>
      <c r="J177" s="75" t="n"/>
      <c r="K177" s="75" t="inlineStr">
        <is>
          <t>On Premises (Client/Server)</t>
        </is>
      </c>
      <c r="L177" s="75" t="n"/>
      <c r="M177" s="75" t="n"/>
      <c r="N177" s="75" t="n"/>
      <c r="O177" s="75" t="n"/>
      <c r="P177" s="75" t="n"/>
      <c r="Q177" s="75" t="inlineStr">
        <is>
          <t>N</t>
        </is>
      </c>
      <c r="R177" s="75" t="n"/>
      <c r="S177" s="75" t="n"/>
      <c r="T177" s="76" t="n"/>
      <c r="U177" s="75" t="inlineStr">
        <is>
          <t>Federico / German Mesa</t>
        </is>
      </c>
      <c r="V177" s="76" t="n"/>
      <c r="Y177" s="153" t="inlineStr">
        <is>
          <t>Global Inv - Mar 2026</t>
        </is>
      </c>
      <c r="Z177" s="153" t="inlineStr">
        <is>
          <t>Enterprise file sync and cloud storage management software</t>
        </is>
      </c>
      <c r="AA177" s="153" t="inlineStr">
        <is>
          <t>IT Operations</t>
        </is>
      </c>
      <c r="AB177" s="121">
        <f>VLOOKUP(AA177,CategorySummaryTable[],2,FALSE)</f>
        <v/>
      </c>
    </row>
    <row r="178" ht="64" customHeight="1" s="142">
      <c r="B178" s="80" t="inlineStr">
        <is>
          <t>File Server</t>
        </is>
      </c>
      <c r="C178" s="75" t="inlineStr">
        <is>
          <t>Not an application.</t>
        </is>
      </c>
      <c r="D178" s="75" t="inlineStr">
        <is>
          <t>Unknown</t>
        </is>
      </c>
      <c r="E178" s="75" t="n"/>
      <c r="F178" s="75" t="n"/>
      <c r="G178" s="75" t="n"/>
      <c r="H178" s="75" t="inlineStr">
        <is>
          <t>Corporate, Canada</t>
        </is>
      </c>
      <c r="I178" s="75" t="inlineStr">
        <is>
          <t>Yes</t>
        </is>
      </c>
      <c r="J178" s="75" t="n"/>
      <c r="K178" s="75" t="n"/>
      <c r="L178" s="75" t="n"/>
      <c r="M178" s="75" t="n"/>
      <c r="N178" s="75" t="n"/>
      <c r="O178" s="75" t="n"/>
      <c r="P178" s="75" t="n"/>
      <c r="Q178" s="75" t="inlineStr">
        <is>
          <t>No</t>
        </is>
      </c>
      <c r="R178" s="75" t="n"/>
      <c r="S178" s="75" t="n"/>
      <c r="T178" s="76" t="n"/>
      <c r="U178" s="75" t="inlineStr">
        <is>
          <t>server?</t>
        </is>
      </c>
      <c r="V178" s="76" t="n"/>
      <c r="Y178" s="153" t="inlineStr">
        <is>
          <t>Global Inv - Mar 2026</t>
        </is>
      </c>
      <c r="Z178" s="153" t="inlineStr">
        <is>
          <t>NA</t>
        </is>
      </c>
      <c r="AA178" s="153" t="inlineStr">
        <is>
          <t>IT Operations</t>
        </is>
      </c>
      <c r="AB178" s="121">
        <f>VLOOKUP(AA178,CategorySummaryTable[],2,FALSE)</f>
        <v/>
      </c>
    </row>
    <row r="179" ht="64" customHeight="1" s="142">
      <c r="B179" s="80" t="inlineStr">
        <is>
          <t>File Server</t>
        </is>
      </c>
      <c r="C179" s="75" t="inlineStr">
        <is>
          <t>Minimum impact during the weekend. Not an application.</t>
        </is>
      </c>
      <c r="D179" s="75" t="inlineStr">
        <is>
          <t>Unknown</t>
        </is>
      </c>
      <c r="E179" s="75" t="n"/>
      <c r="F179" s="75" t="n"/>
      <c r="G179" s="75" t="inlineStr">
        <is>
          <t>Enterprise</t>
        </is>
      </c>
      <c r="H179" s="75" t="n"/>
      <c r="I179" s="75" t="inlineStr">
        <is>
          <t>Yes</t>
        </is>
      </c>
      <c r="J179" s="75" t="n"/>
      <c r="K179" s="75" t="n"/>
      <c r="L179" s="75" t="n"/>
      <c r="M179" s="75" t="n"/>
      <c r="N179" s="75" t="n"/>
      <c r="O179" s="75" t="n"/>
      <c r="P179" s="75" t="n"/>
      <c r="Q179" s="75" t="inlineStr">
        <is>
          <t>No</t>
        </is>
      </c>
      <c r="R179" s="75" t="n"/>
      <c r="S179" s="75" t="n"/>
      <c r="T179" s="76" t="n"/>
      <c r="U179" s="75" t="inlineStr">
        <is>
          <t>server?</t>
        </is>
      </c>
      <c r="V179" s="76" t="n"/>
      <c r="Y179" s="153" t="inlineStr">
        <is>
          <t>Global Inv - Mar 2026</t>
        </is>
      </c>
      <c r="Z179" s="153" t="inlineStr">
        <is>
          <t>NA</t>
        </is>
      </c>
      <c r="AA179" s="153" t="inlineStr">
        <is>
          <t>IT Operations</t>
        </is>
      </c>
      <c r="AB179" s="121">
        <f>VLOOKUP(AA179,CategorySummaryTable[],2,FALSE)</f>
        <v/>
      </c>
    </row>
    <row r="180" ht="64" customHeight="1" s="142">
      <c r="B180" s="77" t="inlineStr">
        <is>
          <t>FileMaker</t>
        </is>
      </c>
      <c r="C180" s="75" t="n"/>
      <c r="D180" s="75" t="inlineStr">
        <is>
          <t>Unknown</t>
        </is>
      </c>
      <c r="E180" s="75" t="inlineStr">
        <is>
          <t>FileMaker</t>
        </is>
      </c>
      <c r="F180" s="75" t="n"/>
      <c r="G180" s="75" t="n"/>
      <c r="H180" s="75" t="inlineStr">
        <is>
          <t>Billerica</t>
        </is>
      </c>
      <c r="I180" s="75" t="inlineStr">
        <is>
          <t>Yes</t>
        </is>
      </c>
      <c r="J180" s="75" t="n"/>
      <c r="K180" s="75" t="inlineStr">
        <is>
          <t>On Premises (Client/Server)</t>
        </is>
      </c>
      <c r="L180" s="75" t="n"/>
      <c r="M180" s="75" t="n"/>
      <c r="N180" s="75" t="n"/>
      <c r="O180" s="75" t="n"/>
      <c r="P180" s="75" t="n"/>
      <c r="Q180" s="75" t="inlineStr">
        <is>
          <t>N</t>
        </is>
      </c>
      <c r="R180" s="75" t="n"/>
      <c r="S180" s="75" t="n"/>
      <c r="T180" s="76" t="n"/>
      <c r="U180" s="75" t="inlineStr">
        <is>
          <t>changed IS Owner</t>
        </is>
      </c>
      <c r="V180" s="76" t="n"/>
      <c r="Y180" s="153" t="inlineStr">
        <is>
          <t>Global Inv - Mar 2026</t>
        </is>
      </c>
      <c r="Z180" s="153" t="inlineStr">
        <is>
          <t>Low-code database application development platform</t>
        </is>
      </c>
      <c r="AA180" s="153" t="inlineStr">
        <is>
          <t>IT Operations</t>
        </is>
      </c>
      <c r="AB180" s="121">
        <f>VLOOKUP(AA180,CategorySummaryTable[],2,FALSE)</f>
        <v/>
      </c>
    </row>
    <row r="181" ht="80" customHeight="1" s="142">
      <c r="B181" s="57" t="inlineStr">
        <is>
          <t>FINANCE PLUS</t>
        </is>
      </c>
      <c r="C181" s="75" t="inlineStr">
        <is>
          <t>Old Australia &amp; New Zealand financial system, replaced by Oracle</t>
        </is>
      </c>
      <c r="D181" s="75" t="inlineStr">
        <is>
          <t>Unknown</t>
        </is>
      </c>
      <c r="E181" s="75" t="inlineStr">
        <is>
          <t>Zoho + Finance Plus</t>
        </is>
      </c>
      <c r="F181" s="75" t="n"/>
      <c r="G181" s="75" t="n"/>
      <c r="H181" s="75" t="inlineStr">
        <is>
          <t>Australia</t>
        </is>
      </c>
      <c r="I181" s="75" t="inlineStr">
        <is>
          <t>Yes</t>
        </is>
      </c>
      <c r="J181" s="75" t="n"/>
      <c r="K181" s="75" t="inlineStr">
        <is>
          <t>On Premises (Client/Server)</t>
        </is>
      </c>
      <c r="L181" s="75" t="n"/>
      <c r="M181" s="75" t="n"/>
      <c r="N181" s="75" t="n"/>
      <c r="O181" s="75" t="n"/>
      <c r="P181" s="75" t="n"/>
      <c r="Q181" s="75" t="inlineStr">
        <is>
          <t>N</t>
        </is>
      </c>
      <c r="R181" s="75" t="n"/>
      <c r="S181" s="75" t="inlineStr">
        <is>
          <t>Paul Omond</t>
        </is>
      </c>
      <c r="T181" s="76" t="n">
        <v>44530</v>
      </c>
      <c r="U181" s="75" t="inlineStr">
        <is>
          <t>Verified by Paul Omond</t>
        </is>
      </c>
      <c r="V181" s="76" t="n">
        <v>44530</v>
      </c>
      <c r="Y181" s="153" t="inlineStr">
        <is>
          <t>Global Inv - Mar 2026</t>
        </is>
      </c>
      <c r="Z181" s="153" t="inlineStr">
        <is>
          <t>NA</t>
        </is>
      </c>
      <c r="AA181" s="153" t="inlineStr">
        <is>
          <t>Finance</t>
        </is>
      </c>
      <c r="AB181" s="121">
        <f>VLOOKUP(AA181,CategorySummaryTable[],2,FALSE)</f>
        <v/>
      </c>
    </row>
    <row r="182" ht="64" customHeight="1" s="142">
      <c r="B182" s="80" t="inlineStr">
        <is>
          <t>FitAsset</t>
        </is>
      </c>
      <c r="C182" s="75" t="n"/>
      <c r="D182" s="75" t="inlineStr">
        <is>
          <t>Unknown</t>
        </is>
      </c>
      <c r="E182" s="75" t="n"/>
      <c r="F182" s="75" t="n"/>
      <c r="G182" s="75" t="n"/>
      <c r="H182" s="75" t="n"/>
      <c r="I182" s="75" t="n"/>
      <c r="J182" s="75" t="inlineStr">
        <is>
          <t>Other</t>
        </is>
      </c>
      <c r="K182" s="75" t="n"/>
      <c r="L182" s="75" t="n"/>
      <c r="M182" s="75" t="n"/>
      <c r="N182" s="75" t="n"/>
      <c r="O182" s="75" t="n"/>
      <c r="P182" s="75" t="n"/>
      <c r="Q182" s="75" t="n"/>
      <c r="R182" s="75" t="n"/>
      <c r="S182" s="75" t="n"/>
      <c r="T182" s="76" t="n"/>
      <c r="U182" s="75" t="inlineStr">
        <is>
          <t>Eileen Galager</t>
        </is>
      </c>
      <c r="V182" s="76" t="n"/>
      <c r="Y182" s="153" t="inlineStr">
        <is>
          <t>Global Inv - Mar 2026</t>
        </is>
      </c>
      <c r="Z182" s="153" t="inlineStr">
        <is>
          <t>NA</t>
        </is>
      </c>
      <c r="AA182" s="153" t="inlineStr">
        <is>
          <t>IT Operations</t>
        </is>
      </c>
      <c r="AB182" s="121">
        <f>VLOOKUP(AA182,CategorySummaryTable[],2,FALSE)</f>
        <v/>
      </c>
    </row>
    <row r="183" ht="80" customHeight="1" s="142">
      <c r="B183" s="82" t="inlineStr">
        <is>
          <t>Five9</t>
        </is>
      </c>
      <c r="C183" s="75" t="n"/>
      <c r="D183" s="75" t="inlineStr">
        <is>
          <t>Active</t>
        </is>
      </c>
      <c r="E183" s="75" t="n"/>
      <c r="F183" s="75" t="n"/>
      <c r="G183" s="75" t="n"/>
      <c r="H183" s="75" t="n"/>
      <c r="I183" s="75" t="n"/>
      <c r="J183" s="75" t="inlineStr">
        <is>
          <t>Other</t>
        </is>
      </c>
      <c r="K183" s="75" t="inlineStr">
        <is>
          <t>SaaS</t>
        </is>
      </c>
      <c r="L183" s="75" t="n"/>
      <c r="M183" s="75" t="n"/>
      <c r="N183" s="75" t="n"/>
      <c r="O183" s="75" t="n"/>
      <c r="P183" s="75" t="n"/>
      <c r="Q183" s="75" t="n"/>
      <c r="R183" s="75" t="n"/>
      <c r="S183" s="75" t="n"/>
      <c r="T183" s="76" t="n"/>
      <c r="U183" s="75" t="n"/>
      <c r="V183" s="76" t="n"/>
      <c r="Y183" s="153" t="inlineStr">
        <is>
          <t>Global Inv - Mar 2026</t>
        </is>
      </c>
      <c r="Z183" s="153" t="inlineStr">
        <is>
          <t>Cloud contact center software</t>
        </is>
      </c>
      <c r="AA183" s="153" t="inlineStr">
        <is>
          <t>Marketing</t>
        </is>
      </c>
      <c r="AB183" s="121">
        <f>VLOOKUP(AA183,CategorySummaryTable[],2,FALSE)</f>
        <v/>
      </c>
    </row>
    <row r="184" ht="80" customHeight="1" s="142">
      <c r="B184" s="56" t="inlineStr">
        <is>
          <t>Flir</t>
        </is>
      </c>
      <c r="C184" s="75" t="n"/>
      <c r="D184" s="75" t="inlineStr">
        <is>
          <t>Unknown</t>
        </is>
      </c>
      <c r="E184" s="75" t="inlineStr">
        <is>
          <t>FLIR Systems</t>
        </is>
      </c>
      <c r="F184" s="75" t="n"/>
      <c r="G184" s="75" t="n"/>
      <c r="H184" s="75" t="inlineStr">
        <is>
          <t>Billerica</t>
        </is>
      </c>
      <c r="I184" s="75" t="n"/>
      <c r="J184" s="75" t="n"/>
      <c r="K184" s="75" t="inlineStr">
        <is>
          <t>Desktop</t>
        </is>
      </c>
      <c r="L184" s="75" t="n"/>
      <c r="M184" s="75" t="n"/>
      <c r="N184" s="75" t="n"/>
      <c r="O184" s="75" t="n"/>
      <c r="P184" s="75" t="n"/>
      <c r="Q184" s="75" t="inlineStr">
        <is>
          <t>N</t>
        </is>
      </c>
      <c r="R184" s="75" t="n"/>
      <c r="S184" s="75" t="n"/>
      <c r="T184" s="76" t="n"/>
      <c r="U184" s="75" t="inlineStr">
        <is>
          <t>changed IS Owner</t>
        </is>
      </c>
      <c r="V184" s="76" t="n"/>
      <c r="Y184" s="153" t="inlineStr">
        <is>
          <t>Global Inv - Mar 2026</t>
        </is>
      </c>
      <c r="Z184" s="153" t="inlineStr">
        <is>
          <t>Thermal imaging camera software</t>
        </is>
      </c>
      <c r="AA184" s="153" t="inlineStr">
        <is>
          <t>Clinical Manufacturing Process</t>
        </is>
      </c>
      <c r="AB184" s="121">
        <f>VLOOKUP(AA184,CategorySummaryTable[],2,FALSE)</f>
        <v/>
      </c>
    </row>
    <row r="185" ht="64" customHeight="1" s="142">
      <c r="B185" s="56" t="inlineStr">
        <is>
          <t>FloEFD</t>
        </is>
      </c>
      <c r="C185" s="75" t="n"/>
      <c r="D185" s="75" t="inlineStr">
        <is>
          <t>Unknown</t>
        </is>
      </c>
      <c r="E185" s="75" t="inlineStr">
        <is>
          <t>Mentor Graphics, a Siemens Business</t>
        </is>
      </c>
      <c r="F185" s="75" t="n"/>
      <c r="G185" s="75" t="n"/>
      <c r="H185" s="75" t="inlineStr">
        <is>
          <t>Billerica</t>
        </is>
      </c>
      <c r="I185" s="75" t="n"/>
      <c r="J185" s="75" t="n"/>
      <c r="K185" s="75" t="inlineStr">
        <is>
          <t>Desktop</t>
        </is>
      </c>
      <c r="L185" s="75" t="n"/>
      <c r="M185" s="75" t="n"/>
      <c r="N185" s="75" t="n"/>
      <c r="O185" s="75" t="n"/>
      <c r="P185" s="75" t="n"/>
      <c r="Q185" s="75" t="inlineStr">
        <is>
          <t>N</t>
        </is>
      </c>
      <c r="R185" s="75" t="n"/>
      <c r="S185" s="75" t="n"/>
      <c r="T185" s="76" t="n"/>
      <c r="U185" s="75" t="n"/>
      <c r="V185" s="76" t="n"/>
      <c r="Y185" s="153" t="inlineStr">
        <is>
          <t>Global Inv - Mar 2026</t>
        </is>
      </c>
      <c r="Z185" s="153" t="inlineStr">
        <is>
          <t>Computational fluid dynamics (CFD) simulation software</t>
        </is>
      </c>
      <c r="AA185" s="153" t="inlineStr">
        <is>
          <t>Engineering</t>
        </is>
      </c>
      <c r="AB185" s="121">
        <f>VLOOKUP(AA185,CategorySummaryTable[],2,FALSE)</f>
        <v/>
      </c>
    </row>
    <row r="186" ht="64" customHeight="1" s="142">
      <c r="B186" s="56" t="inlineStr">
        <is>
          <t>Fortres 101</t>
        </is>
      </c>
      <c r="C186" s="75" t="n"/>
      <c r="D186" s="75" t="inlineStr">
        <is>
          <t>Unknown</t>
        </is>
      </c>
      <c r="E186" s="75" t="inlineStr">
        <is>
          <t>Fortres Grand</t>
        </is>
      </c>
      <c r="F186" s="75" t="n"/>
      <c r="G186" s="75" t="n"/>
      <c r="H186" s="75" t="inlineStr">
        <is>
          <t>Plainsboro 105</t>
        </is>
      </c>
      <c r="I186" s="75" t="inlineStr">
        <is>
          <t>Yes</t>
        </is>
      </c>
      <c r="J186" s="75" t="n"/>
      <c r="K186" s="75" t="inlineStr">
        <is>
          <t>CPU Licensed</t>
        </is>
      </c>
      <c r="L186" s="75" t="n"/>
      <c r="M186" s="75" t="n"/>
      <c r="N186" s="75" t="n"/>
      <c r="O186" s="75" t="n"/>
      <c r="P186" s="75" t="n"/>
      <c r="Q186" s="75" t="inlineStr">
        <is>
          <t>Y</t>
        </is>
      </c>
      <c r="R186" s="75" t="n"/>
      <c r="S186" s="75" t="n"/>
      <c r="T186" s="76" t="n"/>
      <c r="U186" s="75" t="n"/>
      <c r="V186" s="76" t="n"/>
      <c r="Y186" s="153" t="inlineStr">
        <is>
          <t>Global Inv - Mar 2026</t>
        </is>
      </c>
      <c r="Z186" s="153" t="inlineStr">
        <is>
          <t>Desktop security and lockdown software</t>
        </is>
      </c>
      <c r="AA186" s="153" t="inlineStr">
        <is>
          <t>IT Operations</t>
        </is>
      </c>
      <c r="AB186" s="121">
        <f>VLOOKUP(AA186,CategorySummaryTable[],2,FALSE)</f>
        <v/>
      </c>
    </row>
    <row r="187" ht="64" customHeight="1" s="142">
      <c r="B187" s="77" t="inlineStr">
        <is>
          <t>Fortress</t>
        </is>
      </c>
      <c r="C187" s="75" t="n"/>
      <c r="D187" s="75" t="inlineStr">
        <is>
          <t>Unknown</t>
        </is>
      </c>
      <c r="E187" s="75" t="n"/>
      <c r="F187" s="75" t="n"/>
      <c r="G187" s="75" t="n"/>
      <c r="H187" s="75" t="inlineStr">
        <is>
          <t>Puerto Rico</t>
        </is>
      </c>
      <c r="I187" s="75" t="n"/>
      <c r="J187" s="75" t="n"/>
      <c r="K187" s="75" t="inlineStr">
        <is>
          <t>Desktop</t>
        </is>
      </c>
      <c r="L187" s="75" t="n"/>
      <c r="M187" s="75" t="n"/>
      <c r="N187" s="75" t="n"/>
      <c r="O187" s="75" t="n"/>
      <c r="P187" s="75" t="n"/>
      <c r="Q187" s="75" t="inlineStr">
        <is>
          <t>Y</t>
        </is>
      </c>
      <c r="R187" s="75" t="n"/>
      <c r="S187" s="75" t="n"/>
      <c r="T187" s="76" t="n"/>
      <c r="U187" s="75" t="n"/>
      <c r="V187" s="76" t="n"/>
      <c r="Y187" s="153" t="inlineStr">
        <is>
          <t>Global Inv - Mar 2026</t>
        </is>
      </c>
      <c r="Z187" s="153" t="inlineStr">
        <is>
          <t>NA</t>
        </is>
      </c>
      <c r="AA187" s="153" t="inlineStr">
        <is>
          <t>Cyber Security</t>
        </is>
      </c>
      <c r="AB187" s="121">
        <f>VLOOKUP(AA187,CategorySummaryTable[],2,FALSE)</f>
        <v/>
      </c>
    </row>
    <row r="188" ht="96" customHeight="1" s="142">
      <c r="B188" s="80" t="inlineStr">
        <is>
          <t>FSE UDI</t>
        </is>
      </c>
      <c r="C188" s="75" t="n"/>
      <c r="D188" s="75" t="inlineStr">
        <is>
          <t>Unknown</t>
        </is>
      </c>
      <c r="E188" s="75" t="n"/>
      <c r="F188" s="75" t="n"/>
      <c r="G188" s="75" t="n"/>
      <c r="H188" s="75" t="n"/>
      <c r="I188" s="75" t="n"/>
      <c r="J188" s="75" t="inlineStr">
        <is>
          <t>Other</t>
        </is>
      </c>
      <c r="K188" s="75" t="n"/>
      <c r="L188" s="75" t="n"/>
      <c r="M188" s="75" t="n"/>
      <c r="N188" s="75" t="n"/>
      <c r="O188" s="75" t="n"/>
      <c r="P188" s="75" t="n"/>
      <c r="Q188" s="75" t="n"/>
      <c r="R188" s="75" t="n"/>
      <c r="S188" s="75" t="n"/>
      <c r="T188" s="76" t="n"/>
      <c r="U188" s="75" t="inlineStr">
        <is>
          <t>Somdatta Das</t>
        </is>
      </c>
      <c r="V188" s="76" t="n"/>
      <c r="Y188" s="153" t="inlineStr">
        <is>
          <t>Global Inv - Mar 2026</t>
        </is>
      </c>
      <c r="Z188" s="153" t="inlineStr">
        <is>
          <t>NA</t>
        </is>
      </c>
      <c r="AA188" s="153" t="inlineStr">
        <is>
          <t>Regulatory Affairs</t>
        </is>
      </c>
      <c r="AB188" s="121">
        <f>VLOOKUP(AA188,CategorySummaryTable[],2,FALSE)</f>
        <v/>
      </c>
    </row>
    <row r="189" ht="80" customHeight="1" s="142">
      <c r="B189" s="80" t="inlineStr">
        <is>
          <t>FTP / GMP</t>
        </is>
      </c>
      <c r="C189" s="75" t="inlineStr">
        <is>
          <t>A proposed solution is to move to VRTX in B109. Isolated server.
Server name application comment
US311FTP007 B105 Chart Recorders DATA Migrate to B109 Dell Vortex VM servers (tunneling between VILAN74 and VILAN 75)</t>
        </is>
      </c>
      <c r="D189" s="75" t="inlineStr">
        <is>
          <t>Unknown</t>
        </is>
      </c>
      <c r="E189" s="75" t="inlineStr">
        <is>
          <t>GMP Graphics?</t>
        </is>
      </c>
      <c r="F189" s="75" t="n"/>
      <c r="G189" s="75" t="n"/>
      <c r="H189" s="75" t="inlineStr">
        <is>
          <t>Corporate (Building 105)</t>
        </is>
      </c>
      <c r="I189" s="75" t="inlineStr">
        <is>
          <t>Yes</t>
        </is>
      </c>
      <c r="J189" s="75" t="n"/>
      <c r="K189" s="75" t="inlineStr">
        <is>
          <t>On Premises (Client/Server)</t>
        </is>
      </c>
      <c r="L189" s="75" t="n"/>
      <c r="M189" s="75" t="n"/>
      <c r="N189" s="75" t="n"/>
      <c r="O189" s="75" t="n"/>
      <c r="P189" s="75" t="n"/>
      <c r="Q189" s="75" t="inlineStr">
        <is>
          <t>Yes</t>
        </is>
      </c>
      <c r="R189" s="75" t="n"/>
      <c r="S189" s="75" t="n"/>
      <c r="T189" s="76" t="n"/>
      <c r="U189" s="75" t="inlineStr">
        <is>
          <t>server?</t>
        </is>
      </c>
      <c r="V189" s="76" t="n"/>
      <c r="Y189" s="153" t="inlineStr">
        <is>
          <t>Global Inv - Mar 2026</t>
        </is>
      </c>
      <c r="Z189" s="153" t="inlineStr">
        <is>
          <t>NA</t>
        </is>
      </c>
      <c r="AA189" s="153" t="inlineStr">
        <is>
          <t>Manufacturing</t>
        </is>
      </c>
      <c r="AB189" s="121">
        <f>VLOOKUP(AA189,CategorySummaryTable[],2,FALSE)</f>
        <v/>
      </c>
    </row>
    <row r="190" ht="80" customHeight="1" s="142">
      <c r="B190" s="56" t="inlineStr">
        <is>
          <t>Gagepack</t>
        </is>
      </c>
      <c r="C190" s="75" t="n"/>
      <c r="D190" s="75" t="inlineStr">
        <is>
          <t>Unknown</t>
        </is>
      </c>
      <c r="E190" s="75" t="inlineStr">
        <is>
          <t>PQ Systems</t>
        </is>
      </c>
      <c r="F190" s="75" t="n"/>
      <c r="G190" s="75" t="n"/>
      <c r="H190" s="75" t="inlineStr">
        <is>
          <t>Billerica</t>
        </is>
      </c>
      <c r="I190" s="75" t="n"/>
      <c r="J190" s="75" t="n"/>
      <c r="K190" s="75" t="inlineStr">
        <is>
          <t>Desktop</t>
        </is>
      </c>
      <c r="L190" s="75" t="n"/>
      <c r="M190" s="75" t="n"/>
      <c r="N190" s="75" t="n"/>
      <c r="O190" s="75" t="n"/>
      <c r="P190" s="75" t="n"/>
      <c r="Q190" s="75" t="inlineStr">
        <is>
          <t>Y</t>
        </is>
      </c>
      <c r="R190" s="75" t="n"/>
      <c r="S190" s="75" t="n"/>
      <c r="T190" s="76" t="n"/>
      <c r="U190" s="75" t="n"/>
      <c r="V190" s="76" t="n"/>
      <c r="Y190" s="153" t="inlineStr">
        <is>
          <t>Global Inv - Mar 2026</t>
        </is>
      </c>
      <c r="Z190" s="153" t="inlineStr">
        <is>
          <t>Gage calibration and management software</t>
        </is>
      </c>
      <c r="AA190" s="153" t="inlineStr">
        <is>
          <t>Quality and Validation</t>
        </is>
      </c>
      <c r="AB190" s="121">
        <f>VLOOKUP(AA190,CategorySummaryTable[],2,FALSE)</f>
        <v/>
      </c>
    </row>
    <row r="191" ht="80" customHeight="1" s="142">
      <c r="B191" s="80" t="inlineStr">
        <is>
          <t>Gage-X</t>
        </is>
      </c>
      <c r="C191" s="75" t="n"/>
      <c r="D191" s="75" t="inlineStr">
        <is>
          <t>Unknown</t>
        </is>
      </c>
      <c r="E191" s="75" t="n"/>
      <c r="F191" s="75" t="n"/>
      <c r="G191" s="75" t="n"/>
      <c r="H191" s="75" t="n"/>
      <c r="I191" s="75" t="n"/>
      <c r="J191" s="75" t="inlineStr">
        <is>
          <t>Other</t>
        </is>
      </c>
      <c r="K191" s="75" t="n"/>
      <c r="L191" s="75" t="n"/>
      <c r="M191" s="75" t="n"/>
      <c r="N191" s="75" t="n"/>
      <c r="O191" s="75" t="n"/>
      <c r="P191" s="75" t="n"/>
      <c r="Q191" s="75" t="n"/>
      <c r="R191" s="75" t="n"/>
      <c r="S191" s="75" t="n"/>
      <c r="T191" s="76" t="n"/>
      <c r="U191" s="75" t="inlineStr">
        <is>
          <t>German Mesa</t>
        </is>
      </c>
      <c r="V191" s="76" t="n"/>
      <c r="Y191" s="153" t="inlineStr">
        <is>
          <t>Global Inv - Mar 2026</t>
        </is>
      </c>
      <c r="Z191" s="153" t="inlineStr">
        <is>
          <t>NA</t>
        </is>
      </c>
      <c r="AA191" s="153" t="inlineStr">
        <is>
          <t>Quality and Validation</t>
        </is>
      </c>
      <c r="AB191" s="121">
        <f>VLOOKUP(AA191,CategorySummaryTable[],2,FALSE)</f>
        <v/>
      </c>
    </row>
    <row r="192" ht="80" customHeight="1" s="142">
      <c r="B192" s="90" t="inlineStr">
        <is>
          <t>GE PLC (Professional Logic Developer? Also Fanuc, Versamax?)</t>
        </is>
      </c>
      <c r="C192" s="75" t="inlineStr">
        <is>
          <t>Product Labeling</t>
        </is>
      </c>
      <c r="D192" s="75" t="inlineStr">
        <is>
          <t>Unknown</t>
        </is>
      </c>
      <c r="E192" s="75" t="inlineStr">
        <is>
          <t>GE</t>
        </is>
      </c>
      <c r="F192" s="75" t="n"/>
      <c r="G192" s="75" t="n"/>
      <c r="H192" s="75" t="inlineStr">
        <is>
          <t>Cincinnati</t>
        </is>
      </c>
      <c r="I192" s="75" t="inlineStr">
        <is>
          <t>Yes</t>
        </is>
      </c>
      <c r="J192" s="75" t="n"/>
      <c r="K192" s="75" t="inlineStr">
        <is>
          <t>Desktop</t>
        </is>
      </c>
      <c r="L192" s="75" t="n"/>
      <c r="M192" s="75" t="n"/>
      <c r="N192" s="75" t="n"/>
      <c r="O192" s="75" t="n"/>
      <c r="P192" s="75" t="n"/>
      <c r="Q192" s="75" t="inlineStr">
        <is>
          <t>NA</t>
        </is>
      </c>
      <c r="R192" s="75" t="n"/>
      <c r="S192" s="75" t="inlineStr">
        <is>
          <t>Michael Patterson</t>
        </is>
      </c>
      <c r="T192" s="76" t="n">
        <v>44516</v>
      </c>
      <c r="U192" s="75" t="inlineStr">
        <is>
          <t>via Michael Patterson</t>
        </is>
      </c>
      <c r="V192" s="76" t="n">
        <v>44516</v>
      </c>
      <c r="Y192" s="153" t="inlineStr">
        <is>
          <t>Global Inv - Mar 2026</t>
        </is>
      </c>
      <c r="Z192" s="153" t="inlineStr">
        <is>
          <t>NA</t>
        </is>
      </c>
      <c r="AA192" s="153" t="inlineStr">
        <is>
          <t>Manufacturing</t>
        </is>
      </c>
      <c r="AB192" s="121">
        <f>VLOOKUP(AA192,CategorySummaryTable[],2,FALSE)</f>
        <v/>
      </c>
    </row>
    <row r="193" ht="80" customHeight="1" s="142">
      <c r="B193" s="56" t="inlineStr">
        <is>
          <t>GENESIS SPECTRUM (Spectrum Match)</t>
        </is>
      </c>
      <c r="C193" s="75" t="n"/>
      <c r="D193" s="75" t="inlineStr">
        <is>
          <t>Unknown</t>
        </is>
      </c>
      <c r="E193" s="75" t="inlineStr">
        <is>
          <t>EDAX</t>
        </is>
      </c>
      <c r="F193" s="75" t="n"/>
      <c r="G193" s="75" t="n"/>
      <c r="H193" s="75" t="inlineStr">
        <is>
          <t>Plainsboro Corp</t>
        </is>
      </c>
      <c r="I193" s="75" t="n"/>
      <c r="J193" s="75" t="n"/>
      <c r="K193" s="75" t="inlineStr">
        <is>
          <t>Local</t>
        </is>
      </c>
      <c r="L193" s="75" t="n"/>
      <c r="M193" s="75" t="n"/>
      <c r="N193" s="75" t="n"/>
      <c r="O193" s="75" t="n"/>
      <c r="P193" s="75" t="n"/>
      <c r="Q193" s="75" t="inlineStr">
        <is>
          <t>Y</t>
        </is>
      </c>
      <c r="R193" s="75" t="n"/>
      <c r="S193" s="75" t="n"/>
      <c r="T193" s="76" t="n"/>
      <c r="U193" s="75" t="inlineStr">
        <is>
          <t>David Sheleheda</t>
        </is>
      </c>
      <c r="V193" s="76" t="n"/>
      <c r="Y193" s="153" t="inlineStr">
        <is>
          <t>Global Inv - Mar 2026</t>
        </is>
      </c>
      <c r="Z193" s="153" t="inlineStr">
        <is>
          <t>EDS X-ray microanalysis software for electron microscopy</t>
        </is>
      </c>
      <c r="AA193" s="153" t="inlineStr">
        <is>
          <t>Clinical Manufacturing Process</t>
        </is>
      </c>
      <c r="AB193" s="121">
        <f>VLOOKUP(AA193,CategorySummaryTable[],2,FALSE)</f>
        <v/>
      </c>
    </row>
    <row r="194" ht="96" customHeight="1" s="142">
      <c r="B194" s="80" t="inlineStr">
        <is>
          <t>GHX (EDI)</t>
        </is>
      </c>
      <c r="C194" s="87" t="n"/>
      <c r="D194" s="87" t="inlineStr">
        <is>
          <t>Active</t>
        </is>
      </c>
      <c r="E194" s="88" t="n"/>
      <c r="F194" s="87" t="n"/>
      <c r="G194" s="88" t="n"/>
      <c r="H194" s="88" t="n"/>
      <c r="I194" s="88" t="n"/>
      <c r="J194" s="88" t="n"/>
      <c r="K194" s="88" t="n"/>
      <c r="L194" s="88" t="n"/>
      <c r="M194" s="88" t="n"/>
      <c r="N194" s="88" t="n"/>
      <c r="O194" s="88" t="n"/>
      <c r="P194" s="88" t="n"/>
      <c r="Q194" s="88" t="inlineStr">
        <is>
          <t>Yes</t>
        </is>
      </c>
      <c r="R194" s="88" t="n"/>
      <c r="S194" s="87" t="inlineStr">
        <is>
          <t>Kevin McParland</t>
        </is>
      </c>
      <c r="T194" s="89" t="n">
        <v>44693</v>
      </c>
      <c r="U194" s="87" t="n"/>
      <c r="V194" s="89" t="n"/>
      <c r="Y194" s="153" t="inlineStr">
        <is>
          <t>Global Inv - Mar 2026</t>
        </is>
      </c>
      <c r="Z194" s="153" t="inlineStr">
        <is>
          <t>Healthcare supply chain EDI and procurement software</t>
        </is>
      </c>
      <c r="AA194" s="153" t="inlineStr">
        <is>
          <t>Supply Chain and Distribution</t>
        </is>
      </c>
      <c r="AB194" s="121">
        <f>VLOOKUP(AA194,CategorySummaryTable[],2,FALSE)</f>
        <v/>
      </c>
    </row>
    <row r="195" ht="96" customHeight="1" s="142">
      <c r="B195" s="80" t="inlineStr">
        <is>
          <t>GHX Health Connexion</t>
        </is>
      </c>
      <c r="C195" s="87" t="n"/>
      <c r="D195" s="87" t="n"/>
      <c r="E195" s="88" t="n"/>
      <c r="F195" s="87" t="n"/>
      <c r="G195" s="88" t="n"/>
      <c r="H195" s="88" t="n"/>
      <c r="I195" s="88" t="n"/>
      <c r="J195" s="88" t="n"/>
      <c r="K195" s="88" t="n"/>
      <c r="L195" s="88" t="n"/>
      <c r="M195" s="88" t="n"/>
      <c r="N195" s="88" t="n"/>
      <c r="O195" s="88" t="n"/>
      <c r="P195" s="88" t="n"/>
      <c r="Q195" s="88" t="inlineStr">
        <is>
          <t>Yes</t>
        </is>
      </c>
      <c r="R195" s="88" t="n">
        <v>3</v>
      </c>
      <c r="S195" s="87" t="inlineStr">
        <is>
          <t>Kevin McParland</t>
        </is>
      </c>
      <c r="T195" s="89" t="n">
        <v>44693</v>
      </c>
      <c r="U195" s="87" t="n"/>
      <c r="V195" s="89" t="n"/>
      <c r="Y195" s="153" t="inlineStr">
        <is>
          <t>Global Inv - Mar 2026</t>
        </is>
      </c>
      <c r="Z195" s="153" t="inlineStr">
        <is>
          <t>Healthcare supply chain EDI and procurement software</t>
        </is>
      </c>
      <c r="AA195" s="153" t="inlineStr">
        <is>
          <t>Supply Chain and Distribution</t>
        </is>
      </c>
      <c r="AB195" s="121">
        <f>VLOOKUP(AA195,CategorySummaryTable[],2,FALSE)</f>
        <v/>
      </c>
    </row>
    <row r="196" ht="80" customHeight="1" s="142">
      <c r="B196" s="90" t="inlineStr">
        <is>
          <t>GibbsCAM 2011</t>
        </is>
      </c>
      <c r="C196" s="75" t="inlineStr">
        <is>
          <t>CAD</t>
        </is>
      </c>
      <c r="D196" s="75" t="inlineStr">
        <is>
          <t>Unknown</t>
        </is>
      </c>
      <c r="E196" s="75" t="inlineStr">
        <is>
          <t>GibbsCAM</t>
        </is>
      </c>
      <c r="F196" s="75" t="n"/>
      <c r="G196" s="75" t="n"/>
      <c r="H196" s="75" t="inlineStr">
        <is>
          <t>Cincinnati</t>
        </is>
      </c>
      <c r="I196" s="75" t="inlineStr">
        <is>
          <t>Yes</t>
        </is>
      </c>
      <c r="J196" s="75" t="n"/>
      <c r="K196" s="75" t="inlineStr">
        <is>
          <t>Desktop</t>
        </is>
      </c>
      <c r="L196" s="75" t="n"/>
      <c r="M196" s="75" t="n"/>
      <c r="N196" s="75" t="n"/>
      <c r="O196" s="75" t="n"/>
      <c r="P196" s="75" t="n"/>
      <c r="Q196" s="75" t="inlineStr">
        <is>
          <t>No</t>
        </is>
      </c>
      <c r="R196" s="75" t="n"/>
      <c r="S196" s="75" t="inlineStr">
        <is>
          <t>Michael Patterson</t>
        </is>
      </c>
      <c r="T196" s="76" t="n">
        <v>44516</v>
      </c>
      <c r="U196" s="75" t="inlineStr">
        <is>
          <t>via Michael Patterson</t>
        </is>
      </c>
      <c r="V196" s="76" t="n">
        <v>44516</v>
      </c>
      <c r="Y196" s="153" t="inlineStr">
        <is>
          <t>Global Inv - Mar 2026</t>
        </is>
      </c>
      <c r="Z196" s="153" t="inlineStr">
        <is>
          <t>Computer-aided manufacturing (CAM) software for CNC programming</t>
        </is>
      </c>
      <c r="AA196" s="153" t="inlineStr">
        <is>
          <t>Manufacturing</t>
        </is>
      </c>
      <c r="AB196" s="121">
        <f>VLOOKUP(AA196,CategorySummaryTable[],2,FALSE)</f>
        <v/>
      </c>
    </row>
    <row r="197" ht="64" customHeight="1" s="142">
      <c r="B197" s="92" t="inlineStr">
        <is>
          <t>GIMP</t>
        </is>
      </c>
      <c r="C197" s="75" t="inlineStr">
        <is>
          <t>GNU Image Manipulation Program: cross-platform image editor</t>
        </is>
      </c>
      <c r="D197" s="75" t="inlineStr">
        <is>
          <t>Unknown</t>
        </is>
      </c>
      <c r="E197" s="75" t="inlineStr">
        <is>
          <t>GIMP</t>
        </is>
      </c>
      <c r="F197" s="75" t="n"/>
      <c r="G197" s="75" t="n"/>
      <c r="H197" s="75" t="n"/>
      <c r="I197" s="75" t="n"/>
      <c r="J197" s="75" t="inlineStr">
        <is>
          <t>Other</t>
        </is>
      </c>
      <c r="K197" s="75" t="n"/>
      <c r="L197" s="75" t="n"/>
      <c r="M197" s="75" t="n"/>
      <c r="N197" s="75" t="n"/>
      <c r="O197" s="75" t="n"/>
      <c r="P197" s="75" t="n"/>
      <c r="Q197" s="75" t="n"/>
      <c r="R197" s="75" t="n"/>
      <c r="S197" s="75" t="n"/>
      <c r="T197" s="76" t="n"/>
      <c r="U197" s="75" t="inlineStr">
        <is>
          <t>Chris Barnes</t>
        </is>
      </c>
      <c r="V197" s="76" t="n"/>
      <c r="Y197" s="153" t="inlineStr">
        <is>
          <t>Global Inv - Mar 2026</t>
        </is>
      </c>
      <c r="Z197" s="153" t="inlineStr">
        <is>
          <t>Image editing software</t>
        </is>
      </c>
      <c r="AA197" s="153" t="inlineStr">
        <is>
          <t>IT Operations</t>
        </is>
      </c>
      <c r="AB197" s="121">
        <f>VLOOKUP(AA197,CategorySummaryTable[],2,FALSE)</f>
        <v/>
      </c>
    </row>
    <row r="198" ht="64" customHeight="1" s="142">
      <c r="B198" s="77" t="inlineStr">
        <is>
          <t>GIOS Call Accoutant</t>
        </is>
      </c>
      <c r="C198" s="75" t="n"/>
      <c r="D198" s="75" t="inlineStr">
        <is>
          <t>Unknown</t>
        </is>
      </c>
      <c r="E198" s="75" t="inlineStr">
        <is>
          <t>GIOS</t>
        </is>
      </c>
      <c r="F198" s="75" t="n"/>
      <c r="G198" s="75" t="n"/>
      <c r="H198" s="75" t="inlineStr">
        <is>
          <t>Puerto Rico</t>
        </is>
      </c>
      <c r="I198" s="75" t="inlineStr">
        <is>
          <t>Yes</t>
        </is>
      </c>
      <c r="J198" s="75" t="n"/>
      <c r="K198" s="75" t="inlineStr">
        <is>
          <t>On Premises (Client/Server)</t>
        </is>
      </c>
      <c r="L198" s="75" t="n"/>
      <c r="M198" s="75" t="n"/>
      <c r="N198" s="75" t="n"/>
      <c r="O198" s="75" t="n"/>
      <c r="P198" s="75" t="n"/>
      <c r="Q198" s="75" t="inlineStr">
        <is>
          <t>N</t>
        </is>
      </c>
      <c r="R198" s="75" t="n"/>
      <c r="S198" s="75" t="n"/>
      <c r="T198" s="76" t="n"/>
      <c r="U198" s="75" t="n"/>
      <c r="V198" s="76" t="n"/>
      <c r="Y198" s="153" t="inlineStr">
        <is>
          <t>Global Inv - Mar 2026</t>
        </is>
      </c>
      <c r="Z198" s="153" t="inlineStr">
        <is>
          <t>Call accounting and telephone usage logging software</t>
        </is>
      </c>
      <c r="AA198" s="153" t="inlineStr">
        <is>
          <t>IT Operations</t>
        </is>
      </c>
      <c r="AB198" s="121">
        <f>VLOOKUP(AA198,CategorySummaryTable[],2,FALSE)</f>
        <v/>
      </c>
    </row>
    <row r="199" ht="64" customHeight="1" s="142">
      <c r="B199" s="80" t="inlineStr">
        <is>
          <t>Google Earth</t>
        </is>
      </c>
      <c r="C199" s="75" t="inlineStr">
        <is>
          <t>Global mapping system</t>
        </is>
      </c>
      <c r="D199" s="75" t="inlineStr">
        <is>
          <t>Unknown</t>
        </is>
      </c>
      <c r="E199" s="75" t="inlineStr">
        <is>
          <t>Google</t>
        </is>
      </c>
      <c r="F199" s="75" t="n"/>
      <c r="G199" s="75" t="n"/>
      <c r="H199" s="75" t="n"/>
      <c r="I199" s="75" t="n"/>
      <c r="J199" s="75" t="inlineStr">
        <is>
          <t>Other</t>
        </is>
      </c>
      <c r="K199" s="75" t="n"/>
      <c r="L199" s="75" t="n"/>
      <c r="M199" s="75" t="n"/>
      <c r="N199" s="75" t="n"/>
      <c r="O199" s="75" t="n"/>
      <c r="P199" s="75" t="n"/>
      <c r="Q199" s="75" t="n"/>
      <c r="R199" s="75" t="n"/>
      <c r="S199" s="75" t="n"/>
      <c r="T199" s="76" t="n"/>
      <c r="U199" s="75" t="inlineStr">
        <is>
          <t>Abdul Aziz</t>
        </is>
      </c>
      <c r="V199" s="76" t="n"/>
      <c r="Y199" s="153" t="inlineStr">
        <is>
          <t>Global Inv - Mar 2026</t>
        </is>
      </c>
      <c r="Z199" s="153" t="inlineStr">
        <is>
          <t>Geospatial mapping and earth visualization software</t>
        </is>
      </c>
      <c r="AA199" s="153" t="inlineStr">
        <is>
          <t>IT Operations</t>
        </is>
      </c>
      <c r="AB199" s="121">
        <f>VLOOKUP(AA199,CategorySummaryTable[],2,FALSE)</f>
        <v/>
      </c>
    </row>
    <row r="200" ht="64" customHeight="1" s="142">
      <c r="B200" s="80" t="inlineStr">
        <is>
          <t>GotoMeeting</t>
        </is>
      </c>
      <c r="C200" s="75" t="inlineStr">
        <is>
          <t>web meeting</t>
        </is>
      </c>
      <c r="D200" s="75" t="inlineStr">
        <is>
          <t>Unknown</t>
        </is>
      </c>
      <c r="E200" s="75" t="inlineStr">
        <is>
          <t>LogMeIn GoToMeeting</t>
        </is>
      </c>
      <c r="F200" s="75" t="n"/>
      <c r="G200" s="75" t="n"/>
      <c r="H200" s="75" t="n"/>
      <c r="I200" s="75" t="n"/>
      <c r="J200" s="75" t="inlineStr">
        <is>
          <t>Other</t>
        </is>
      </c>
      <c r="K200" s="75" t="n"/>
      <c r="L200" s="75" t="n"/>
      <c r="M200" s="75" t="n"/>
      <c r="N200" s="75" t="n"/>
      <c r="O200" s="75" t="n"/>
      <c r="P200" s="75" t="n"/>
      <c r="Q200" s="75" t="n"/>
      <c r="R200" s="75" t="n"/>
      <c r="S200" s="75" t="n"/>
      <c r="T200" s="76" t="n"/>
      <c r="U200" s="75" t="inlineStr">
        <is>
          <t>Matt Rugierio- asked if completed replaced</t>
        </is>
      </c>
      <c r="V200" s="76" t="n"/>
      <c r="Y200" s="153" t="inlineStr">
        <is>
          <t>Global Inv - Mar 2026</t>
        </is>
      </c>
      <c r="Z200" s="153" t="inlineStr">
        <is>
          <t>Web conferencing and online meeting software</t>
        </is>
      </c>
      <c r="AA200" s="153" t="inlineStr">
        <is>
          <t>IT Operations</t>
        </is>
      </c>
      <c r="AB200" s="121">
        <f>VLOOKUP(AA200,CategorySummaryTable[],2,FALSE)</f>
        <v/>
      </c>
    </row>
    <row r="201" ht="80" customHeight="1" s="142">
      <c r="B201" s="77" t="inlineStr">
        <is>
          <t>Govt Regulatory &amp; Compliance (GRC)</t>
        </is>
      </c>
      <c r="C201" s="75" t="n"/>
      <c r="D201" s="75" t="inlineStr">
        <is>
          <t>Unknown</t>
        </is>
      </c>
      <c r="E201" s="75" t="n"/>
      <c r="F201" s="75" t="n"/>
      <c r="G201" s="75" t="n"/>
      <c r="H201" s="75" t="n"/>
      <c r="I201" s="75" t="n"/>
      <c r="J201" s="75" t="inlineStr">
        <is>
          <t>OCI</t>
        </is>
      </c>
      <c r="K201" s="75" t="inlineStr">
        <is>
          <t>OCI</t>
        </is>
      </c>
      <c r="L201" s="75" t="n"/>
      <c r="M201" s="75" t="n"/>
      <c r="N201" s="75" t="n"/>
      <c r="O201" s="75" t="n"/>
      <c r="P201" s="75" t="n"/>
      <c r="Q201" s="75" t="n"/>
      <c r="R201" s="75" t="n"/>
      <c r="S201" s="75" t="n"/>
      <c r="T201" s="76" t="n"/>
      <c r="U201" s="75" t="inlineStr">
        <is>
          <t>Laetitia Delolme</t>
        </is>
      </c>
      <c r="V201" s="76" t="n"/>
      <c r="Y201" s="153" t="inlineStr">
        <is>
          <t>Global Inv - Mar 2026</t>
        </is>
      </c>
      <c r="Z201" s="153" t="inlineStr">
        <is>
          <t>NA</t>
        </is>
      </c>
      <c r="AA201" s="153" t="inlineStr">
        <is>
          <t>Compliance and Risk</t>
        </is>
      </c>
      <c r="AB201" s="121">
        <f>VLOOKUP(AA201,CategorySummaryTable[],2,FALSE)</f>
        <v/>
      </c>
    </row>
    <row r="202" ht="64" customHeight="1" s="142">
      <c r="B202" s="77" t="inlineStr">
        <is>
          <t>Graphite 2D/3D</t>
        </is>
      </c>
      <c r="C202" s="75" t="n"/>
      <c r="D202" s="75" t="inlineStr">
        <is>
          <t>Unknown</t>
        </is>
      </c>
      <c r="E202" s="75" t="inlineStr">
        <is>
          <t>Ashlar-Vellum</t>
        </is>
      </c>
      <c r="F202" s="75" t="n"/>
      <c r="G202" s="75" t="n"/>
      <c r="H202" s="75" t="inlineStr">
        <is>
          <t>Billerica</t>
        </is>
      </c>
      <c r="I202" s="75" t="n"/>
      <c r="J202" s="75" t="n"/>
      <c r="K202" s="75" t="inlineStr">
        <is>
          <t>Desktop</t>
        </is>
      </c>
      <c r="L202" s="75" t="n"/>
      <c r="M202" s="75" t="n"/>
      <c r="N202" s="75" t="n"/>
      <c r="O202" s="75" t="n"/>
      <c r="P202" s="75" t="n"/>
      <c r="Q202" s="75" t="inlineStr">
        <is>
          <t>N</t>
        </is>
      </c>
      <c r="R202" s="75" t="n"/>
      <c r="S202" s="75" t="n"/>
      <c r="T202" s="76" t="n"/>
      <c r="U202" s="75" t="inlineStr">
        <is>
          <t>Chris Barnes</t>
        </is>
      </c>
      <c r="V202" s="76" t="n"/>
      <c r="Y202" s="153" t="inlineStr">
        <is>
          <t>Global Inv - Mar 2026</t>
        </is>
      </c>
      <c r="Z202" s="153" t="inlineStr">
        <is>
          <t>2D/3D CAD drafting and modeling software</t>
        </is>
      </c>
      <c r="AA202" s="153" t="inlineStr">
        <is>
          <t>Engineering</t>
        </is>
      </c>
      <c r="AB202" s="121">
        <f>VLOOKUP(AA202,CategorySummaryTable[],2,FALSE)</f>
        <v/>
      </c>
    </row>
    <row r="203" ht="80" customHeight="1" s="142">
      <c r="B203" s="77" t="inlineStr">
        <is>
          <t>Graph Pad</t>
        </is>
      </c>
      <c r="C203" s="101" t="inlineStr">
        <is>
          <t>A versatile statistics tool purpose-built for scientists-not statisticians.Generates publication quality graphs and figures</t>
        </is>
      </c>
      <c r="D203" s="75" t="inlineStr">
        <is>
          <t>Active</t>
        </is>
      </c>
      <c r="E203" s="75" t="inlineStr">
        <is>
          <t>Graphpad Software LLC</t>
        </is>
      </c>
      <c r="F203" s="75" t="inlineStr">
        <is>
          <t>https://www.graphpad.com/</t>
        </is>
      </c>
      <c r="G203" s="75" t="inlineStr">
        <is>
          <t>Site Specific</t>
        </is>
      </c>
      <c r="H203" s="75" t="inlineStr">
        <is>
          <t>Plainsboro 104</t>
        </is>
      </c>
      <c r="I203" s="75" t="inlineStr">
        <is>
          <t>??</t>
        </is>
      </c>
      <c r="J203" s="75" t="n"/>
      <c r="K203" s="75" t="n"/>
      <c r="L203" s="75" t="n"/>
      <c r="M203" s="75" t="n"/>
      <c r="N203" s="75" t="inlineStr">
        <is>
          <t>Yes</t>
        </is>
      </c>
      <c r="O203" s="75" t="inlineStr">
        <is>
          <t>LDAP</t>
        </is>
      </c>
      <c r="P203" s="75" t="inlineStr">
        <is>
          <t>T3</t>
        </is>
      </c>
      <c r="Q203" s="75" t="inlineStr">
        <is>
          <t>No</t>
        </is>
      </c>
      <c r="R203" s="75" t="n"/>
      <c r="S203" s="75" t="inlineStr">
        <is>
          <t>Dave Croson</t>
        </is>
      </c>
      <c r="T203" s="76" t="n">
        <v>45931</v>
      </c>
      <c r="U203" s="75" t="n"/>
      <c r="V203" s="76" t="n"/>
      <c r="Y203" s="153" t="inlineStr">
        <is>
          <t>Global Inv - Mar 2026</t>
        </is>
      </c>
      <c r="Z203" s="153" t="inlineStr">
        <is>
          <t>Scientific statistics and graphing software</t>
        </is>
      </c>
      <c r="AA203" s="153" t="inlineStr">
        <is>
          <t>Data and Analytics</t>
        </is>
      </c>
      <c r="AB203" s="121">
        <f>VLOOKUP(AA203,CategorySummaryTable[],2,FALSE)</f>
        <v/>
      </c>
    </row>
    <row r="204" ht="80" customHeight="1" s="142">
      <c r="B204" s="56" t="inlineStr">
        <is>
          <t>Gravograph/GravoStyle</t>
        </is>
      </c>
      <c r="C204" s="75" t="n"/>
      <c r="D204" s="75" t="inlineStr">
        <is>
          <t>Unknown</t>
        </is>
      </c>
      <c r="E204" s="75" t="inlineStr">
        <is>
          <t>Gravotech Inc.</t>
        </is>
      </c>
      <c r="F204" s="75" t="n"/>
      <c r="G204" s="75" t="n"/>
      <c r="H204" s="75" t="inlineStr">
        <is>
          <t>Cincinnati</t>
        </is>
      </c>
      <c r="I204" s="75" t="n"/>
      <c r="J204" s="75" t="n"/>
      <c r="K204" s="75" t="inlineStr">
        <is>
          <t>Desktop</t>
        </is>
      </c>
      <c r="L204" s="75" t="n"/>
      <c r="M204" s="75" t="n"/>
      <c r="N204" s="75" t="n"/>
      <c r="O204" s="75" t="n"/>
      <c r="P204" s="75" t="n"/>
      <c r="Q204" s="75" t="inlineStr">
        <is>
          <t>N</t>
        </is>
      </c>
      <c r="R204" s="75" t="n"/>
      <c r="S204" s="75" t="n"/>
      <c r="T204" s="76" t="n"/>
      <c r="U204" s="75" t="inlineStr">
        <is>
          <t>Michael Patterson</t>
        </is>
      </c>
      <c r="V204" s="76" t="n"/>
      <c r="Y204" s="153" t="inlineStr">
        <is>
          <t>Global Inv - Mar 2026</t>
        </is>
      </c>
      <c r="Z204" s="153" t="inlineStr">
        <is>
          <t>Engraving and marking CAD/CAM software</t>
        </is>
      </c>
      <c r="AA204" s="153" t="inlineStr">
        <is>
          <t>Manufacturing</t>
        </is>
      </c>
      <c r="AB204" s="121">
        <f>VLOOKUP(AA204,CategorySummaryTable[],2,FALSE)</f>
        <v/>
      </c>
    </row>
    <row r="205" ht="64" customHeight="1" s="142">
      <c r="B205" s="80" t="inlineStr">
        <is>
          <t>Growth Power</t>
        </is>
      </c>
      <c r="C205" s="75" t="inlineStr">
        <is>
          <t>Data migration?</t>
        </is>
      </c>
      <c r="D205" s="75" t="inlineStr">
        <is>
          <t>Unknown</t>
        </is>
      </c>
      <c r="E205" s="75" t="inlineStr">
        <is>
          <t>Crawford Software</t>
        </is>
      </c>
      <c r="F205" s="75" t="n"/>
      <c r="G205" s="75" t="n"/>
      <c r="H205" s="75" t="n"/>
      <c r="I205" s="75" t="n"/>
      <c r="J205" s="75" t="inlineStr">
        <is>
          <t>Other</t>
        </is>
      </c>
      <c r="K205" s="75" t="n"/>
      <c r="L205" s="75" t="n"/>
      <c r="M205" s="75" t="n"/>
      <c r="N205" s="75" t="n"/>
      <c r="O205" s="75" t="n"/>
      <c r="P205" s="75" t="n"/>
      <c r="Q205" s="75" t="n"/>
      <c r="R205" s="75" t="n"/>
      <c r="S205" s="75" t="n"/>
      <c r="T205" s="76" t="n"/>
      <c r="U205" s="75" t="inlineStr">
        <is>
          <t>George Groom -&gt; Tushar or John O' Callaghan</t>
        </is>
      </c>
      <c r="V205" s="76" t="n"/>
      <c r="Y205" s="153" t="inlineStr">
        <is>
          <t>Global Inv - Mar 2026</t>
        </is>
      </c>
      <c r="Z205" s="153" t="inlineStr">
        <is>
          <t>NA</t>
        </is>
      </c>
      <c r="AA205" s="153" t="inlineStr">
        <is>
          <t>IT Operations</t>
        </is>
      </c>
      <c r="AB205" s="121">
        <f>VLOOKUP(AA205,CategorySummaryTable[],2,FALSE)</f>
        <v/>
      </c>
    </row>
    <row r="206" ht="80" customHeight="1" s="142">
      <c r="B206" s="80" t="inlineStr">
        <is>
          <t>Halogen</t>
        </is>
      </c>
      <c r="C206" s="75" t="inlineStr">
        <is>
          <t>Hiring and recruiting software/ LMS (Learning Management System)</t>
        </is>
      </c>
      <c r="D206" s="75" t="inlineStr">
        <is>
          <t>Unknown</t>
        </is>
      </c>
      <c r="E206" s="75" t="inlineStr">
        <is>
          <t>Cornerstone + Halogen Software / Saba Software Inc.</t>
        </is>
      </c>
      <c r="F206" s="75" t="n"/>
      <c r="G206" s="75" t="n"/>
      <c r="H206" s="75" t="n"/>
      <c r="I206" s="75" t="n"/>
      <c r="J206" s="75" t="inlineStr">
        <is>
          <t>Other</t>
        </is>
      </c>
      <c r="K206" s="75" t="n"/>
      <c r="L206" s="75" t="n"/>
      <c r="M206" s="75" t="n"/>
      <c r="N206" s="75" t="n"/>
      <c r="O206" s="75" t="n"/>
      <c r="P206" s="75" t="n"/>
      <c r="Q206" s="75" t="n"/>
      <c r="R206" s="75" t="n"/>
      <c r="S206" s="75" t="n"/>
      <c r="T206" s="76" t="n"/>
      <c r="U206" s="75" t="inlineStr">
        <is>
          <t>Norma Frahn // Radhi Rao</t>
        </is>
      </c>
      <c r="V206" s="76" t="n"/>
      <c r="Y206" s="153" t="inlineStr">
        <is>
          <t>Global Inv - Mar 2026</t>
        </is>
      </c>
      <c r="Z206" s="153" t="inlineStr">
        <is>
          <t>Talent and performance management software</t>
        </is>
      </c>
      <c r="AA206" s="153" t="inlineStr">
        <is>
          <t>Human Resources and Talent</t>
        </is>
      </c>
      <c r="AB206" s="121">
        <f>VLOOKUP(AA206,CategorySummaryTable[],2,FALSE)</f>
        <v/>
      </c>
    </row>
    <row r="207" ht="64" customHeight="1" s="142">
      <c r="B207" s="56" t="inlineStr">
        <is>
          <t>Helios</t>
        </is>
      </c>
      <c r="C207" s="75" t="n"/>
      <c r="D207" s="75" t="inlineStr">
        <is>
          <t>Unknown</t>
        </is>
      </c>
      <c r="E207" s="75" t="n"/>
      <c r="F207" s="75" t="n"/>
      <c r="G207" s="75" t="n"/>
      <c r="H207" s="75" t="inlineStr">
        <is>
          <t>St. Aubin</t>
        </is>
      </c>
      <c r="I207" s="75" t="n"/>
      <c r="J207" s="75" t="n"/>
      <c r="K207" s="75" t="n"/>
      <c r="L207" s="75" t="n"/>
      <c r="M207" s="75" t="n"/>
      <c r="N207" s="75" t="n"/>
      <c r="O207" s="75" t="n"/>
      <c r="P207" s="75" t="n"/>
      <c r="Q207" s="75" t="n"/>
      <c r="R207" s="75" t="n"/>
      <c r="S207" s="75" t="n"/>
      <c r="T207" s="76" t="n"/>
      <c r="U207" s="75" t="inlineStr">
        <is>
          <t>German Mesa</t>
        </is>
      </c>
      <c r="V207" s="76" t="n"/>
      <c r="Y207" s="153" t="inlineStr">
        <is>
          <t>Global Inv - Mar 2026</t>
        </is>
      </c>
      <c r="Z207" s="153" t="inlineStr">
        <is>
          <t>NA</t>
        </is>
      </c>
      <c r="AA207" s="153" t="inlineStr">
        <is>
          <t>IT Operations</t>
        </is>
      </c>
      <c r="AB207" s="121">
        <f>VLOOKUP(AA207,CategorySummaryTable[],2,FALSE)</f>
        <v/>
      </c>
    </row>
    <row r="208" ht="80" customHeight="1" s="142">
      <c r="B208" s="77" t="inlineStr">
        <is>
          <t>HR TRAINING PROGRAM</t>
        </is>
      </c>
      <c r="C208" s="75" t="n"/>
      <c r="D208" s="75" t="inlineStr">
        <is>
          <t>Unknown</t>
        </is>
      </c>
      <c r="E208" s="75" t="n"/>
      <c r="F208" s="75" t="n"/>
      <c r="G208" s="75" t="n"/>
      <c r="H208" s="75" t="inlineStr">
        <is>
          <t>Puerto Rico</t>
        </is>
      </c>
      <c r="I208" s="75" t="n"/>
      <c r="J208" s="75" t="n"/>
      <c r="K208" s="75" t="inlineStr">
        <is>
          <t>Desktop</t>
        </is>
      </c>
      <c r="L208" s="75" t="n"/>
      <c r="M208" s="75" t="n"/>
      <c r="N208" s="75" t="n"/>
      <c r="O208" s="75" t="n"/>
      <c r="P208" s="75" t="n"/>
      <c r="Q208" s="75" t="inlineStr">
        <is>
          <t>N</t>
        </is>
      </c>
      <c r="R208" s="75" t="n"/>
      <c r="S208" s="75" t="n"/>
      <c r="T208" s="76" t="n"/>
      <c r="U208" s="75" t="n"/>
      <c r="V208" s="76" t="n"/>
      <c r="Y208" s="153" t="inlineStr">
        <is>
          <t>Global Inv - Mar 2026</t>
        </is>
      </c>
      <c r="Z208" s="153" t="inlineStr">
        <is>
          <t>NA</t>
        </is>
      </c>
      <c r="AA208" s="153" t="inlineStr">
        <is>
          <t>Human Resources and Talent</t>
        </is>
      </c>
      <c r="AB208" s="121">
        <f>VLOOKUP(AA208,CategorySummaryTable[],2,FALSE)</f>
        <v/>
      </c>
    </row>
    <row r="209" ht="80" customHeight="1" s="142">
      <c r="B209" s="80" t="inlineStr">
        <is>
          <t>HRIS/Resume Mirror Production</t>
        </is>
      </c>
      <c r="C209" s="75" t="inlineStr">
        <is>
          <t>See "Resume mirror for HR"</t>
        </is>
      </c>
      <c r="D209" s="75" t="inlineStr">
        <is>
          <t>Unknown</t>
        </is>
      </c>
      <c r="E209" s="75" t="n"/>
      <c r="F209" s="75" t="n"/>
      <c r="G209" s="75" t="n"/>
      <c r="H209" s="75" t="n"/>
      <c r="I209" s="75" t="n"/>
      <c r="J209" s="75" t="inlineStr">
        <is>
          <t>Other</t>
        </is>
      </c>
      <c r="K209" s="75" t="n"/>
      <c r="L209" s="75" t="n"/>
      <c r="M209" s="75" t="n"/>
      <c r="N209" s="75" t="n"/>
      <c r="O209" s="75" t="n"/>
      <c r="P209" s="75" t="n"/>
      <c r="Q209" s="75" t="n"/>
      <c r="R209" s="75" t="n"/>
      <c r="S209" s="75" t="n"/>
      <c r="T209" s="76" t="n"/>
      <c r="U209" s="75" t="inlineStr">
        <is>
          <t>Julia Ulreich</t>
        </is>
      </c>
      <c r="V209" s="76" t="n"/>
      <c r="Y209" s="153" t="inlineStr">
        <is>
          <t>Global Inv - Mar 2026</t>
        </is>
      </c>
      <c r="Z209" s="153" t="inlineStr">
        <is>
          <t>NA</t>
        </is>
      </c>
      <c r="AA209" s="153" t="inlineStr">
        <is>
          <t>Human Resources and Talent</t>
        </is>
      </c>
      <c r="AB209" s="121">
        <f>VLOOKUP(AA209,CategorySummaryTable[],2,FALSE)</f>
        <v/>
      </c>
    </row>
    <row r="210" ht="80" customHeight="1" s="142">
      <c r="B210" s="80" t="inlineStr">
        <is>
          <t>Hyperion</t>
        </is>
      </c>
      <c r="C210" s="75" t="inlineStr">
        <is>
          <t>Work consolidation tool for financial reporting for global consolidation for purposes of reporting quarterly and annual results. In the form of the 10Q and 10K. Gets information from Oracle and Movex, and feeds into BPC. 5/10/2023: We will be converting our BPC and Hyperion applications to OneStream (not Oracle). The project is set to kick off over the next few weeks, and currently anticipated to go live in Q1 2024.</t>
        </is>
      </c>
      <c r="D210" s="75" t="inlineStr">
        <is>
          <t>Marked for deletion?</t>
        </is>
      </c>
      <c r="E210" s="75" t="inlineStr">
        <is>
          <t>Oracle? Hyperion FInancial?</t>
        </is>
      </c>
      <c r="F210" s="75" t="n"/>
      <c r="G210" s="75" t="inlineStr">
        <is>
          <t>Enterprise</t>
        </is>
      </c>
      <c r="H210" s="75" t="inlineStr">
        <is>
          <t>Global (including Australia)</t>
        </is>
      </c>
      <c r="I210" s="75" t="inlineStr">
        <is>
          <t>Yes</t>
        </is>
      </c>
      <c r="J210" s="75" t="n"/>
      <c r="K210" s="75" t="inlineStr">
        <is>
          <t>On Premises (Client/Server)</t>
        </is>
      </c>
      <c r="L210" s="75" t="n"/>
      <c r="M210" s="75" t="n"/>
      <c r="N210" s="75" t="inlineStr">
        <is>
          <t>Yes</t>
        </is>
      </c>
      <c r="O210" s="75" t="inlineStr">
        <is>
          <t>LDAP</t>
        </is>
      </c>
      <c r="P210" s="75" t="inlineStr">
        <is>
          <t>T1?</t>
        </is>
      </c>
      <c r="Q210" s="75" t="inlineStr">
        <is>
          <t>No</t>
        </is>
      </c>
      <c r="R210" s="75" t="n"/>
      <c r="S210" s="75" t="n"/>
      <c r="T210" s="76" t="n"/>
      <c r="U210" s="75" t="inlineStr">
        <is>
          <t>Vincent Lu</t>
        </is>
      </c>
      <c r="V210" s="76" t="n">
        <v>45056</v>
      </c>
      <c r="W210" s="74" t="inlineStr">
        <is>
          <t>Decommissioned no longer in  use</t>
        </is>
      </c>
      <c r="Y210" s="153" t="inlineStr">
        <is>
          <t>Global Inv - Mar 2026</t>
        </is>
      </c>
      <c r="Z210" s="153" t="inlineStr">
        <is>
          <t>Financial consolidation and reporting (EPM) software</t>
        </is>
      </c>
      <c r="AA210" s="153" t="inlineStr">
        <is>
          <t>Finance</t>
        </is>
      </c>
      <c r="AB210" s="121">
        <f>VLOOKUP(AA210,CategorySummaryTable[],2,FALSE)</f>
        <v/>
      </c>
    </row>
    <row r="211" ht="80" customHeight="1" s="142">
      <c r="B211" s="80" t="inlineStr">
        <is>
          <t>Hyperion Financial management</t>
        </is>
      </c>
      <c r="C211" s="75" t="n"/>
      <c r="D211" s="75" t="inlineStr">
        <is>
          <t>Unknown</t>
        </is>
      </c>
      <c r="E211" s="75" t="n"/>
      <c r="F211" s="75" t="n"/>
      <c r="G211" s="75" t="n"/>
      <c r="H211" s="75" t="n"/>
      <c r="I211" s="75" t="n"/>
      <c r="J211" s="75" t="n"/>
      <c r="K211" s="75" t="n"/>
      <c r="L211" s="75" t="n"/>
      <c r="M211" s="75" t="n"/>
      <c r="N211" s="75" t="n"/>
      <c r="O211" s="75" t="n"/>
      <c r="P211" s="75" t="inlineStr">
        <is>
          <t>T1?</t>
        </is>
      </c>
      <c r="Q211" s="75" t="n"/>
      <c r="R211" s="75" t="n"/>
      <c r="S211" s="75" t="n"/>
      <c r="T211" s="76" t="n"/>
      <c r="U211" s="75" t="n"/>
      <c r="V211" s="76" t="n"/>
      <c r="W211" s="74" t="inlineStr">
        <is>
          <t>Decommissioned no longer in  use</t>
        </is>
      </c>
      <c r="Y211" s="153" t="inlineStr">
        <is>
          <t>Global Inv - Mar 2026</t>
        </is>
      </c>
      <c r="Z211" s="153" t="inlineStr">
        <is>
          <t>Financial consolidation and close management software</t>
        </is>
      </c>
      <c r="AA211" s="153" t="inlineStr">
        <is>
          <t>Finance</t>
        </is>
      </c>
      <c r="AB211" s="121">
        <f>VLOOKUP(AA211,CategorySummaryTable[],2,FALSE)</f>
        <v/>
      </c>
    </row>
    <row r="212" ht="80" customHeight="1" s="142">
      <c r="B212" s="80" t="inlineStr">
        <is>
          <t>Hyperion SmartView</t>
        </is>
      </c>
      <c r="C212" s="75" t="n"/>
      <c r="D212" s="75" t="inlineStr">
        <is>
          <t>Unknown</t>
        </is>
      </c>
      <c r="E212" s="75" t="n"/>
      <c r="F212" s="75" t="n"/>
      <c r="G212" s="75" t="n"/>
      <c r="H212" s="75" t="n"/>
      <c r="I212" s="75" t="n"/>
      <c r="J212" s="75" t="n"/>
      <c r="K212" s="75" t="n"/>
      <c r="L212" s="75" t="n"/>
      <c r="M212" s="75" t="n"/>
      <c r="N212" s="75" t="n"/>
      <c r="O212" s="75" t="n"/>
      <c r="P212" s="75" t="inlineStr">
        <is>
          <t>T1?</t>
        </is>
      </c>
      <c r="Q212" s="75" t="n"/>
      <c r="R212" s="75" t="n"/>
      <c r="S212" s="75" t="n"/>
      <c r="T212" s="76" t="n"/>
      <c r="U212" s="75" t="n"/>
      <c r="V212" s="76" t="n"/>
      <c r="W212" s="74" t="inlineStr">
        <is>
          <t>Decommissioned no longer in  use</t>
        </is>
      </c>
      <c r="Y212" s="153" t="inlineStr">
        <is>
          <t>Global Inv - Mar 2026</t>
        </is>
      </c>
      <c r="Z212" s="153" t="inlineStr">
        <is>
          <t>Excel add-in for accessing Hyperion/EPM financial data</t>
        </is>
      </c>
      <c r="AA212" s="153" t="inlineStr">
        <is>
          <t>Finance</t>
        </is>
      </c>
      <c r="AB212" s="121">
        <f>VLOOKUP(AA212,CategorySummaryTable[],2,FALSE)</f>
        <v/>
      </c>
    </row>
    <row r="213" ht="64" customHeight="1" s="142">
      <c r="B213" s="77" t="inlineStr">
        <is>
          <t>Hypershot Pro</t>
        </is>
      </c>
      <c r="C213" s="75" t="n"/>
      <c r="D213" s="75" t="inlineStr">
        <is>
          <t>Unknown</t>
        </is>
      </c>
      <c r="E213" s="75" t="inlineStr">
        <is>
          <t>Bunkspeed</t>
        </is>
      </c>
      <c r="F213" s="75" t="n"/>
      <c r="G213" s="75" t="n"/>
      <c r="H213" s="75" t="inlineStr">
        <is>
          <t>Billerica</t>
        </is>
      </c>
      <c r="I213" s="75" t="n"/>
      <c r="J213" s="75" t="n"/>
      <c r="K213" s="75" t="inlineStr">
        <is>
          <t>Desktop</t>
        </is>
      </c>
      <c r="L213" s="75" t="n"/>
      <c r="M213" s="75" t="n"/>
      <c r="N213" s="75" t="n"/>
      <c r="O213" s="75" t="n"/>
      <c r="P213" s="75" t="n"/>
      <c r="Q213" s="75" t="inlineStr">
        <is>
          <t>N</t>
        </is>
      </c>
      <c r="R213" s="75" t="n"/>
      <c r="S213" s="75" t="n"/>
      <c r="T213" s="76" t="n"/>
      <c r="U213" s="75" t="n"/>
      <c r="V213" s="76" t="n"/>
      <c r="Y213" s="153" t="inlineStr">
        <is>
          <t>Global Inv - Mar 2026</t>
        </is>
      </c>
      <c r="Z213" s="153" t="inlineStr">
        <is>
          <t>3D product rendering and visualization software</t>
        </is>
      </c>
      <c r="AA213" s="153" t="inlineStr">
        <is>
          <t>Engineering</t>
        </is>
      </c>
      <c r="AB213" s="121">
        <f>VLOOKUP(AA213,CategorySummaryTable[],2,FALSE)</f>
        <v/>
      </c>
    </row>
    <row r="214" ht="64" customHeight="1" s="142">
      <c r="B214" s="90" t="inlineStr">
        <is>
          <t>IAR System Embedded Workbench</t>
        </is>
      </c>
      <c r="C214" s="75" t="inlineStr">
        <is>
          <t>Cross-compiler for firmware that runs on microcontrollers in devices</t>
        </is>
      </c>
      <c r="D214" s="75" t="inlineStr">
        <is>
          <t>Active</t>
        </is>
      </c>
      <c r="E214" s="75" t="inlineStr">
        <is>
          <t>IAR</t>
        </is>
      </c>
      <c r="F214" s="75" t="n"/>
      <c r="G214" s="75" t="n"/>
      <c r="H214" s="75" t="inlineStr">
        <is>
          <t>Billerica</t>
        </is>
      </c>
      <c r="I214" s="75" t="inlineStr">
        <is>
          <t>Yes</t>
        </is>
      </c>
      <c r="J214" s="75" t="n"/>
      <c r="K214" s="75" t="inlineStr">
        <is>
          <t>Desktop</t>
        </is>
      </c>
      <c r="L214" s="75" t="n"/>
      <c r="M214" s="75" t="inlineStr">
        <is>
          <t>N/A</t>
        </is>
      </c>
      <c r="N214" s="75" t="n"/>
      <c r="O214" s="75" t="n"/>
      <c r="P214" s="75" t="n"/>
      <c r="Q214" s="75" t="inlineStr">
        <is>
          <t>N/A</t>
        </is>
      </c>
      <c r="R214" s="75" t="n"/>
      <c r="S214" s="75" t="inlineStr">
        <is>
          <t>Gary Beckmann</t>
        </is>
      </c>
      <c r="T214" s="76" t="n">
        <v>44592</v>
      </c>
      <c r="U214" s="75" t="inlineStr">
        <is>
          <t>via Gary Beckmann</t>
        </is>
      </c>
      <c r="V214" s="76" t="n">
        <v>44592</v>
      </c>
      <c r="Y214" s="153" t="inlineStr">
        <is>
          <t>Global Inv - Mar 2026</t>
        </is>
      </c>
      <c r="Z214" s="153" t="inlineStr">
        <is>
          <t>IDE and C/C++ compiler for embedded microcontroller firmware</t>
        </is>
      </c>
      <c r="AA214" s="153" t="inlineStr">
        <is>
          <t>IT Operations</t>
        </is>
      </c>
      <c r="AB214" s="121">
        <f>VLOOKUP(AA214,CategorySummaryTable[],2,FALSE)</f>
        <v/>
      </c>
    </row>
    <row r="215" ht="80" customHeight="1" s="142">
      <c r="B215" s="77" t="inlineStr">
        <is>
          <t>IBM Federation Server</t>
        </is>
      </c>
      <c r="C215" s="75" t="inlineStr">
        <is>
          <t>Data Archiving</t>
        </is>
      </c>
      <c r="D215" s="75" t="inlineStr">
        <is>
          <t>Unknown</t>
        </is>
      </c>
      <c r="E215" s="75" t="inlineStr">
        <is>
          <t>IBM</t>
        </is>
      </c>
      <c r="F215" s="75" t="n"/>
      <c r="G215" s="75" t="n"/>
      <c r="H215" s="75" t="inlineStr">
        <is>
          <t>Corporate</t>
        </is>
      </c>
      <c r="I215" s="75" t="inlineStr">
        <is>
          <t>Yes</t>
        </is>
      </c>
      <c r="J215" s="75" t="n"/>
      <c r="K215" s="75" t="inlineStr">
        <is>
          <t>On Premises (Client/Server)</t>
        </is>
      </c>
      <c r="L215" s="75" t="n"/>
      <c r="M215" s="75" t="n"/>
      <c r="N215" s="75" t="n"/>
      <c r="O215" s="75" t="n"/>
      <c r="P215" s="75" t="n"/>
      <c r="Q215" s="75" t="inlineStr">
        <is>
          <t>Yes</t>
        </is>
      </c>
      <c r="R215" s="75" t="n"/>
      <c r="S215" s="75" t="n"/>
      <c r="T215" s="76" t="n"/>
      <c r="U215" s="75" t="inlineStr">
        <is>
          <t>server?</t>
        </is>
      </c>
      <c r="V215" s="76" t="n"/>
      <c r="W215" s="74" t="inlineStr">
        <is>
          <t xml:space="preserve">This was IBM Optim server we did not renew the licenses no longer in use </t>
        </is>
      </c>
      <c r="Y215" s="153" t="inlineStr">
        <is>
          <t>Global Inv - Mar 2026</t>
        </is>
      </c>
      <c r="Z215" s="153" t="inlineStr">
        <is>
          <t>Data federation/virtualization integration software</t>
        </is>
      </c>
      <c r="AA215" s="153" t="inlineStr">
        <is>
          <t>Data and Analytics</t>
        </is>
      </c>
      <c r="AB215" s="121">
        <f>VLOOKUP(AA215,CategorySummaryTable[],2,FALSE)</f>
        <v/>
      </c>
    </row>
    <row r="216" ht="80" customHeight="1" s="142">
      <c r="B216" s="77" t="inlineStr">
        <is>
          <t>IBM InfoSphere Discovery</t>
        </is>
      </c>
      <c r="C216" s="75" t="inlineStr">
        <is>
          <t>Data Archiving</t>
        </is>
      </c>
      <c r="D216" s="75" t="inlineStr">
        <is>
          <t>Unknown</t>
        </is>
      </c>
      <c r="E216" s="75" t="inlineStr">
        <is>
          <t>IBM</t>
        </is>
      </c>
      <c r="F216" s="75" t="n"/>
      <c r="G216" s="75" t="n"/>
      <c r="H216" s="75" t="inlineStr">
        <is>
          <t>Corporate</t>
        </is>
      </c>
      <c r="I216" s="75" t="inlineStr">
        <is>
          <t>Yes</t>
        </is>
      </c>
      <c r="J216" s="75" t="n"/>
      <c r="K216" s="75" t="inlineStr">
        <is>
          <t>On Premises (Client/Server)</t>
        </is>
      </c>
      <c r="L216" s="75" t="n"/>
      <c r="M216" s="75" t="n"/>
      <c r="N216" s="75" t="n"/>
      <c r="O216" s="75" t="n"/>
      <c r="P216" s="75" t="n"/>
      <c r="Q216" s="75" t="inlineStr">
        <is>
          <t>Yes</t>
        </is>
      </c>
      <c r="R216" s="75" t="n"/>
      <c r="S216" s="75" t="n"/>
      <c r="T216" s="76" t="n"/>
      <c r="U216" s="75" t="n"/>
      <c r="V216" s="76" t="n"/>
      <c r="W216" s="74" t="inlineStr">
        <is>
          <t xml:space="preserve">This was IBM Optim server we did not renew the licenses no longer in use </t>
        </is>
      </c>
      <c r="Y216" s="153" t="inlineStr">
        <is>
          <t>Global Inv - Mar 2026</t>
        </is>
      </c>
      <c r="Z216" s="153" t="inlineStr">
        <is>
          <t>Data discovery and relationship analysis software</t>
        </is>
      </c>
      <c r="AA216" s="153" t="inlineStr">
        <is>
          <t>Data and Analytics</t>
        </is>
      </c>
      <c r="AB216" s="121">
        <f>VLOOKUP(AA216,CategorySummaryTable[],2,FALSE)</f>
        <v/>
      </c>
    </row>
    <row r="217" ht="80" customHeight="1" s="142">
      <c r="B217" s="80" t="inlineStr">
        <is>
          <t>IBM InfoSphere Engine</t>
        </is>
      </c>
      <c r="C217" s="75" t="inlineStr">
        <is>
          <t>Investigate, Cleanse, and Manage Data</t>
        </is>
      </c>
      <c r="D217" s="75" t="inlineStr">
        <is>
          <t>Unknown</t>
        </is>
      </c>
      <c r="E217" s="75" t="inlineStr">
        <is>
          <t>IBM</t>
        </is>
      </c>
      <c r="F217" s="75" t="n"/>
      <c r="G217" s="75" t="n"/>
      <c r="H217" s="75" t="n"/>
      <c r="I217" s="75" t="n"/>
      <c r="J217" s="75" t="n"/>
      <c r="K217" s="75" t="n"/>
      <c r="L217" s="75" t="n"/>
      <c r="M217" s="75" t="n"/>
      <c r="N217" s="75" t="n"/>
      <c r="O217" s="75" t="n"/>
      <c r="P217" s="75" t="n"/>
      <c r="Q217" s="75" t="n"/>
      <c r="R217" s="75" t="n"/>
      <c r="S217" s="75" t="n"/>
      <c r="T217" s="76" t="n"/>
      <c r="U217" s="75" t="inlineStr">
        <is>
          <t>Viral Thakker</t>
        </is>
      </c>
      <c r="V217" s="76" t="n"/>
      <c r="W217" s="74" t="inlineStr">
        <is>
          <t xml:space="preserve">This was IBM Optim server we did not renew the licenses no longer in use </t>
        </is>
      </c>
      <c r="Y217" s="153" t="inlineStr">
        <is>
          <t>Global Inv - Mar 2026</t>
        </is>
      </c>
      <c r="Z217" s="153" t="inlineStr">
        <is>
          <t>Data integration/ETL engine software</t>
        </is>
      </c>
      <c r="AA217" s="153" t="inlineStr">
        <is>
          <t>Data and Analytics</t>
        </is>
      </c>
      <c r="AB217" s="121">
        <f>VLOOKUP(AA217,CategorySummaryTable[],2,FALSE)</f>
        <v/>
      </c>
    </row>
    <row r="218" ht="64" customHeight="1" s="142">
      <c r="B218" s="80" t="inlineStr">
        <is>
          <t>IBM InfoSphere Optim</t>
        </is>
      </c>
      <c r="C218" s="75" t="n"/>
      <c r="D218" s="75" t="inlineStr">
        <is>
          <t>Unknown</t>
        </is>
      </c>
      <c r="E218" s="75" t="inlineStr">
        <is>
          <t>IBM?</t>
        </is>
      </c>
      <c r="F218" s="75" t="n"/>
      <c r="G218" s="75" t="n"/>
      <c r="H218" s="75" t="inlineStr">
        <is>
          <t>Corporate</t>
        </is>
      </c>
      <c r="I218" s="75" t="inlineStr">
        <is>
          <t>Yes</t>
        </is>
      </c>
      <c r="J218" s="75" t="n"/>
      <c r="K218" s="75" t="n"/>
      <c r="L218" s="75" t="n"/>
      <c r="M218" s="75" t="n"/>
      <c r="N218" s="75" t="n"/>
      <c r="O218" s="75" t="n"/>
      <c r="P218" s="75" t="n"/>
      <c r="Q218" s="75" t="inlineStr">
        <is>
          <t>Yes</t>
        </is>
      </c>
      <c r="R218" s="75" t="n"/>
      <c r="S218" s="75" t="n"/>
      <c r="T218" s="76" t="n"/>
      <c r="U218" s="75" t="inlineStr">
        <is>
          <t>Viral Thakker</t>
        </is>
      </c>
      <c r="V218" s="76" t="n"/>
      <c r="W218" s="74" t="inlineStr">
        <is>
          <t xml:space="preserve">This was IBM Optim server we did not renew the licenses no longer in use </t>
        </is>
      </c>
      <c r="Y218" s="153" t="inlineStr">
        <is>
          <t>Global Inv - Mar 2026</t>
        </is>
      </c>
      <c r="Z218" s="153" t="inlineStr">
        <is>
          <t>Data archiving, test data, and data lifecycle management software</t>
        </is>
      </c>
      <c r="AA218" s="153" t="inlineStr">
        <is>
          <t>IT Operations</t>
        </is>
      </c>
      <c r="AB218" s="121">
        <f>VLOOKUP(AA218,CategorySummaryTable[],2,FALSE)</f>
        <v/>
      </c>
    </row>
    <row r="219" ht="64" customHeight="1" s="142">
      <c r="B219" s="80" t="inlineStr">
        <is>
          <t>IBM Maximo Asset Management</t>
        </is>
      </c>
      <c r="C219" s="75" t="inlineStr">
        <is>
          <t>Not for production, for building and equipment assets, it is a repository for maintenance records. Currently running on an old server OS. If moved, then it might require to be upgraded by IBM to support new OS.</t>
        </is>
      </c>
      <c r="D219" s="75" t="inlineStr">
        <is>
          <t>Unknown</t>
        </is>
      </c>
      <c r="E219" s="75" t="inlineStr">
        <is>
          <t>IBM?</t>
        </is>
      </c>
      <c r="F219" s="75" t="n"/>
      <c r="G219" s="75" t="n"/>
      <c r="H219" s="75" t="inlineStr">
        <is>
          <t>Corporate (Building 105/109)</t>
        </is>
      </c>
      <c r="I219" s="75" t="inlineStr">
        <is>
          <t>Yes</t>
        </is>
      </c>
      <c r="J219" s="75" t="n"/>
      <c r="K219" s="75" t="n"/>
      <c r="L219" s="75" t="n"/>
      <c r="M219" s="75" t="n"/>
      <c r="N219" s="75" t="n"/>
      <c r="O219" s="75" t="n"/>
      <c r="P219" s="75" t="n"/>
      <c r="Q219" s="75" t="inlineStr">
        <is>
          <t>Yes</t>
        </is>
      </c>
      <c r="R219" s="75" t="n"/>
      <c r="S219" s="75" t="n"/>
      <c r="T219" s="76" t="n"/>
      <c r="U219" s="75" t="inlineStr">
        <is>
          <t>David Z</t>
        </is>
      </c>
      <c r="V219" s="76" t="n"/>
      <c r="Y219" s="153" t="inlineStr">
        <is>
          <t>Global Inv - Mar 2026</t>
        </is>
      </c>
      <c r="Z219" s="153" t="inlineStr">
        <is>
          <t>Enterprise asset and maintenance management software</t>
        </is>
      </c>
      <c r="AA219" s="153" t="inlineStr">
        <is>
          <t>IT Operations</t>
        </is>
      </c>
      <c r="AB219" s="121">
        <f>VLOOKUP(AA219,CategorySummaryTable[],2,FALSE)</f>
        <v/>
      </c>
    </row>
    <row r="220" ht="64" customHeight="1" s="142">
      <c r="B220" s="56" t="inlineStr">
        <is>
          <t>ICARE</t>
        </is>
      </c>
      <c r="C220" s="75" t="n"/>
      <c r="D220" s="75" t="inlineStr">
        <is>
          <t>Decommissioned</t>
        </is>
      </c>
      <c r="E220" s="75" t="inlineStr">
        <is>
          <t>iCare</t>
        </is>
      </c>
      <c r="F220" s="75" t="n"/>
      <c r="G220" s="75" t="n"/>
      <c r="H220" s="75" t="inlineStr">
        <is>
          <t>Europe</t>
        </is>
      </c>
      <c r="I220" s="75" t="n"/>
      <c r="J220" s="75" t="inlineStr">
        <is>
          <t>Other</t>
        </is>
      </c>
      <c r="K220" s="75" t="inlineStr">
        <is>
          <t>Web</t>
        </is>
      </c>
      <c r="L220" s="75" t="n"/>
      <c r="M220" s="75" t="n"/>
      <c r="N220" s="75" t="n"/>
      <c r="O220" s="75" t="n"/>
      <c r="P220" s="75" t="n"/>
      <c r="Q220" s="75" t="inlineStr">
        <is>
          <t>N</t>
        </is>
      </c>
      <c r="R220" s="75" t="n"/>
      <c r="S220" s="75" t="n"/>
      <c r="T220" s="76" t="n"/>
      <c r="U220" s="75" t="n"/>
      <c r="V220" s="76" t="n"/>
      <c r="W220" s="71" t="inlineStr">
        <is>
          <t>System used at the time of Movex in EMEA (Finance interco invoice calculation)</t>
        </is>
      </c>
      <c r="Y220" s="153" t="inlineStr">
        <is>
          <t>Global Inv - Mar 2026</t>
        </is>
      </c>
      <c r="Z220" s="153" t="inlineStr">
        <is>
          <t>NA</t>
        </is>
      </c>
      <c r="AA220" s="153" t="inlineStr">
        <is>
          <t>IT Operations</t>
        </is>
      </c>
      <c r="AB220" s="121">
        <f>VLOOKUP(AA220,CategorySummaryTable[],2,FALSE)</f>
        <v/>
      </c>
    </row>
    <row r="221" ht="80" customHeight="1" s="142">
      <c r="B221" s="82" t="inlineStr">
        <is>
          <t>iCIMS</t>
        </is>
      </c>
      <c r="C221" s="75" t="n"/>
      <c r="D221" s="75" t="inlineStr">
        <is>
          <t>Survey Complete</t>
        </is>
      </c>
      <c r="E221" s="75" t="inlineStr">
        <is>
          <t>iCIMS</t>
        </is>
      </c>
      <c r="F221" s="75" t="n"/>
      <c r="G221" s="75" t="n"/>
      <c r="H221" s="75" t="n"/>
      <c r="I221" s="75" t="n"/>
      <c r="J221" s="75" t="inlineStr">
        <is>
          <t>Other</t>
        </is>
      </c>
      <c r="K221" s="75" t="inlineStr">
        <is>
          <t>SaaS</t>
        </is>
      </c>
      <c r="L221" s="75" t="n"/>
      <c r="M221" s="75" t="n"/>
      <c r="N221" s="75" t="n"/>
      <c r="O221" s="75" t="n"/>
      <c r="P221" s="75" t="n"/>
      <c r="Q221" s="75" t="n"/>
      <c r="R221" s="75" t="n"/>
      <c r="S221" s="75" t="n"/>
      <c r="T221" s="76" t="n"/>
      <c r="U221" s="75" t="inlineStr">
        <is>
          <t>Norma Frahn</t>
        </is>
      </c>
      <c r="V221" s="76" t="n"/>
      <c r="Y221" s="153" t="inlineStr">
        <is>
          <t>Global Inv - Mar 2026</t>
        </is>
      </c>
      <c r="Z221" s="153" t="inlineStr">
        <is>
          <t>Recruiting and talent acquisition (applicant tracking) software</t>
        </is>
      </c>
      <c r="AA221" s="153" t="inlineStr">
        <is>
          <t>Human Resources and Talent</t>
        </is>
      </c>
      <c r="AB221" s="121">
        <f>VLOOKUP(AA221,CategorySummaryTable[],2,FALSE)</f>
        <v/>
      </c>
    </row>
    <row r="222" ht="80" customHeight="1" s="142">
      <c r="B222" s="80" t="inlineStr">
        <is>
          <t>iCoach</t>
        </is>
      </c>
      <c r="C222" s="75" t="inlineStr">
        <is>
          <t>iCoach is a field sales coaching and development system and app. Not a learning management tool, not part of the LMS/ Saba system.</t>
        </is>
      </c>
      <c r="D222" s="75" t="inlineStr">
        <is>
          <t>Unknown</t>
        </is>
      </c>
      <c r="E222" s="75" t="n"/>
      <c r="F222" s="75" t="n"/>
      <c r="G222" s="75" t="n"/>
      <c r="H222" s="75" t="n"/>
      <c r="I222" s="75" t="n"/>
      <c r="J222" s="75" t="inlineStr">
        <is>
          <t>Other</t>
        </is>
      </c>
      <c r="K222" s="75" t="n"/>
      <c r="L222" s="75" t="n"/>
      <c r="M222" s="75" t="n"/>
      <c r="N222" s="75" t="n"/>
      <c r="O222" s="75" t="n"/>
      <c r="P222" s="75" t="n"/>
      <c r="Q222" s="75" t="n"/>
      <c r="R222" s="75" t="n"/>
      <c r="S222" s="75" t="n"/>
      <c r="T222" s="76" t="n"/>
      <c r="U222" s="75" t="n"/>
      <c r="V222" s="76" t="n"/>
      <c r="Y222" s="153" t="inlineStr">
        <is>
          <t>Global Inv - Mar 2026</t>
        </is>
      </c>
      <c r="Z222" s="153" t="inlineStr">
        <is>
          <t>Field sales coaching and rep development application</t>
        </is>
      </c>
      <c r="AA222" s="153" t="inlineStr">
        <is>
          <t>Sales</t>
        </is>
      </c>
      <c r="AB222" s="121">
        <f>VLOOKUP(AA222,CategorySummaryTable[],2,FALSE)</f>
        <v/>
      </c>
    </row>
    <row r="223" ht="96" customHeight="1" s="142">
      <c r="B223" s="82" t="inlineStr">
        <is>
          <t>IDEP/CN8 - DEB CR</t>
        </is>
      </c>
      <c r="C223" s="75" t="n"/>
      <c r="D223" s="75" t="inlineStr">
        <is>
          <t>Unknown</t>
        </is>
      </c>
      <c r="E223" s="75" t="n"/>
      <c r="F223" s="75" t="n"/>
      <c r="G223" s="75" t="n"/>
      <c r="H223" s="75" t="inlineStr">
        <is>
          <t>St. Aubin</t>
        </is>
      </c>
      <c r="I223" s="75" t="n"/>
      <c r="J223" s="75" t="inlineStr">
        <is>
          <t>Other</t>
        </is>
      </c>
      <c r="K223" s="75" t="n"/>
      <c r="L223" s="75" t="n"/>
      <c r="M223" s="75" t="n"/>
      <c r="N223" s="75" t="n"/>
      <c r="O223" s="75" t="n"/>
      <c r="P223" s="75" t="n"/>
      <c r="Q223" s="75" t="n"/>
      <c r="R223" s="75" t="n"/>
      <c r="S223" s="75" t="n"/>
      <c r="T223" s="76" t="n"/>
      <c r="U223" s="75" t="n"/>
      <c r="V223" s="76" t="n"/>
      <c r="Y223" s="153" t="inlineStr">
        <is>
          <t>Global Inv - Mar 2026</t>
        </is>
      </c>
      <c r="Z223" s="153" t="inlineStr">
        <is>
          <t>Intrastat trade declaration (EU statistics) software</t>
        </is>
      </c>
      <c r="AA223" s="153" t="inlineStr">
        <is>
          <t>Supply Chain and Distribution</t>
        </is>
      </c>
      <c r="AB223" s="121">
        <f>VLOOKUP(AA223,CategorySummaryTable[],2,FALSE)</f>
        <v/>
      </c>
    </row>
    <row r="224" ht="80" customHeight="1" s="142">
      <c r="B224" s="77" t="inlineStr">
        <is>
          <t>IMAGE Macro (Internal) (Related to above)</t>
        </is>
      </c>
      <c r="C224" s="75" t="n"/>
      <c r="D224" s="75" t="inlineStr">
        <is>
          <t>Unknown</t>
        </is>
      </c>
      <c r="E224" s="75" t="n"/>
      <c r="F224" s="75" t="n"/>
      <c r="G224" s="75" t="n"/>
      <c r="H224" s="75" t="inlineStr">
        <is>
          <t>Plainsboro Corp, Plainsboro 105</t>
        </is>
      </c>
      <c r="I224" s="75" t="inlineStr">
        <is>
          <t>Yes</t>
        </is>
      </c>
      <c r="J224" s="75" t="n"/>
      <c r="K224" s="75" t="n"/>
      <c r="L224" s="75" t="n"/>
      <c r="M224" s="75" t="n"/>
      <c r="N224" s="75" t="n"/>
      <c r="O224" s="75" t="n"/>
      <c r="P224" s="75" t="n"/>
      <c r="Q224" s="75" t="inlineStr">
        <is>
          <t>N</t>
        </is>
      </c>
      <c r="R224" s="75" t="n"/>
      <c r="S224" s="75" t="n"/>
      <c r="T224" s="76" t="n"/>
      <c r="U224" s="75" t="n"/>
      <c r="V224" s="76" t="n"/>
      <c r="Y224" s="153" t="inlineStr">
        <is>
          <t>Global Inv - Mar 2026</t>
        </is>
      </c>
      <c r="Z224" s="153" t="inlineStr">
        <is>
          <t>NA</t>
        </is>
      </c>
      <c r="AA224" s="153" t="inlineStr">
        <is>
          <t>Data and Analytics</t>
        </is>
      </c>
      <c r="AB224" s="121">
        <f>VLOOKUP(AA224,CategorySummaryTable[],2,FALSE)</f>
        <v/>
      </c>
    </row>
    <row r="225" ht="80" customHeight="1" s="142">
      <c r="B225" s="56" t="inlineStr">
        <is>
          <t>Image Studio</t>
        </is>
      </c>
      <c r="C225" s="75" t="n"/>
      <c r="D225" s="75" t="inlineStr">
        <is>
          <t>Unknown</t>
        </is>
      </c>
      <c r="E225" s="75" t="inlineStr">
        <is>
          <t>Li-Cor</t>
        </is>
      </c>
      <c r="F225" s="75" t="n"/>
      <c r="G225" s="75" t="n"/>
      <c r="H225" s="75" t="inlineStr">
        <is>
          <t>Plainsboro Corp</t>
        </is>
      </c>
      <c r="I225" s="75" t="inlineStr">
        <is>
          <t>Yes</t>
        </is>
      </c>
      <c r="J225" s="75" t="n"/>
      <c r="K225" s="75" t="inlineStr">
        <is>
          <t>Desktop</t>
        </is>
      </c>
      <c r="L225" s="75" t="n"/>
      <c r="M225" s="75" t="n"/>
      <c r="N225" s="75" t="n"/>
      <c r="O225" s="75" t="n"/>
      <c r="P225" s="75" t="n"/>
      <c r="Q225" s="75" t="inlineStr">
        <is>
          <t>Y</t>
        </is>
      </c>
      <c r="R225" s="75" t="n"/>
      <c r="S225" s="75" t="n"/>
      <c r="T225" s="76" t="n"/>
      <c r="U225" s="75" t="n"/>
      <c r="V225" s="76" t="n"/>
      <c r="Y225" s="153" t="inlineStr">
        <is>
          <t>Global Inv - Mar 2026</t>
        </is>
      </c>
      <c r="Z225" s="153" t="inlineStr">
        <is>
          <t>Scientific imaging and Western blot/gel analysis software</t>
        </is>
      </c>
      <c r="AA225" s="153" t="inlineStr">
        <is>
          <t>Clinical Manufacturing Process</t>
        </is>
      </c>
      <c r="AB225" s="121">
        <f>VLOOKUP(AA225,CategorySummaryTable[],2,FALSE)</f>
        <v/>
      </c>
    </row>
    <row r="226" ht="64" customHeight="1" s="142">
      <c r="B226" s="77" t="inlineStr">
        <is>
          <t>ImageCraft C Compiler</t>
        </is>
      </c>
      <c r="C226" s="75" t="n"/>
      <c r="D226" s="75" t="inlineStr">
        <is>
          <t>Unknown</t>
        </is>
      </c>
      <c r="E226" s="75" t="inlineStr">
        <is>
          <t>ImageCraft</t>
        </is>
      </c>
      <c r="F226" s="75" t="n"/>
      <c r="G226" s="75" t="n"/>
      <c r="H226" s="75" t="inlineStr">
        <is>
          <t>Billerica</t>
        </is>
      </c>
      <c r="I226" s="75" t="n"/>
      <c r="J226" s="75" t="n"/>
      <c r="K226" s="75" t="inlineStr">
        <is>
          <t>Desktop</t>
        </is>
      </c>
      <c r="L226" s="75" t="n"/>
      <c r="M226" s="75" t="n"/>
      <c r="N226" s="75" t="n"/>
      <c r="O226" s="75" t="n"/>
      <c r="P226" s="75" t="n"/>
      <c r="Q226" s="75" t="inlineStr">
        <is>
          <t>N</t>
        </is>
      </c>
      <c r="R226" s="75" t="n"/>
      <c r="S226" s="75" t="n"/>
      <c r="T226" s="76" t="n"/>
      <c r="U226" s="75" t="n"/>
      <c r="V226" s="76" t="n"/>
      <c r="Y226" s="153" t="inlineStr">
        <is>
          <t>Global Inv - Mar 2026</t>
        </is>
      </c>
      <c r="Z226" s="153" t="inlineStr">
        <is>
          <t>C compiler and development tools for embedded microcontrollers</t>
        </is>
      </c>
      <c r="AA226" s="153" t="inlineStr">
        <is>
          <t>Engineering</t>
        </is>
      </c>
      <c r="AB226" s="121">
        <f>VLOOKUP(AA226,CategorySummaryTable[],2,FALSE)</f>
        <v/>
      </c>
    </row>
    <row r="227" ht="80" customHeight="1" s="142">
      <c r="B227" s="56" t="inlineStr">
        <is>
          <t>ImageJ (Public Domain License-Freeware)</t>
        </is>
      </c>
      <c r="C227" s="75" t="n"/>
      <c r="D227" s="75" t="inlineStr">
        <is>
          <t>Unknown</t>
        </is>
      </c>
      <c r="E227" s="75" t="inlineStr">
        <is>
          <t>National Institutes of Health</t>
        </is>
      </c>
      <c r="F227" s="75" t="n"/>
      <c r="G227" s="75" t="n"/>
      <c r="H227" s="75" t="inlineStr">
        <is>
          <t>Plainsboro Corp</t>
        </is>
      </c>
      <c r="I227" s="75" t="inlineStr">
        <is>
          <t>Yes</t>
        </is>
      </c>
      <c r="J227" s="75" t="n"/>
      <c r="K227" s="75" t="inlineStr">
        <is>
          <t>Local</t>
        </is>
      </c>
      <c r="L227" s="75" t="n"/>
      <c r="M227" s="75" t="n"/>
      <c r="N227" s="75" t="n"/>
      <c r="O227" s="75" t="n"/>
      <c r="P227" s="75" t="n"/>
      <c r="Q227" s="75" t="inlineStr">
        <is>
          <t>Y</t>
        </is>
      </c>
      <c r="R227" s="75" t="n"/>
      <c r="S227" s="75" t="n"/>
      <c r="T227" s="76" t="n"/>
      <c r="U227" s="75" t="n"/>
      <c r="V227" s="76" t="n"/>
      <c r="Y227" s="153" t="inlineStr">
        <is>
          <t>Global Inv - Mar 2026</t>
        </is>
      </c>
      <c r="Z227" s="153" t="inlineStr">
        <is>
          <t>Scientific image processing and analysis software</t>
        </is>
      </c>
      <c r="AA227" s="153" t="inlineStr">
        <is>
          <t>Clinical Manufacturing Process</t>
        </is>
      </c>
      <c r="AB227" s="121">
        <f>VLOOKUP(AA227,CategorySummaryTable[],2,FALSE)</f>
        <v/>
      </c>
    </row>
    <row r="228" ht="64" customHeight="1" s="142">
      <c r="B228" s="77" t="inlineStr">
        <is>
          <t>ImageWare</t>
        </is>
      </c>
      <c r="C228" s="75" t="n"/>
      <c r="D228" s="75" t="inlineStr">
        <is>
          <t>Unknown</t>
        </is>
      </c>
      <c r="E228" s="75" t="inlineStr">
        <is>
          <t>ImageWare</t>
        </is>
      </c>
      <c r="F228" s="75" t="n"/>
      <c r="G228" s="75" t="n"/>
      <c r="H228" s="75" t="inlineStr">
        <is>
          <t>Puerto Rico</t>
        </is>
      </c>
      <c r="I228" s="75" t="inlineStr">
        <is>
          <t>Yes</t>
        </is>
      </c>
      <c r="J228" s="75" t="n"/>
      <c r="K228" s="75" t="inlineStr">
        <is>
          <t>On Premises (Client/Server)</t>
        </is>
      </c>
      <c r="L228" s="75" t="n"/>
      <c r="M228" s="75" t="n"/>
      <c r="N228" s="75" t="n"/>
      <c r="O228" s="75" t="n"/>
      <c r="P228" s="75" t="n"/>
      <c r="Q228" s="75" t="inlineStr">
        <is>
          <t>Y</t>
        </is>
      </c>
      <c r="R228" s="75" t="n"/>
      <c r="S228" s="75" t="n"/>
      <c r="T228" s="76" t="n"/>
      <c r="U228" s="75" t="n"/>
      <c r="V228" s="76" t="n"/>
      <c r="Y228" s="153" t="inlineStr">
        <is>
          <t>Global Inv - Mar 2026</t>
        </is>
      </c>
      <c r="Z228" s="153" t="inlineStr">
        <is>
          <t>NA</t>
        </is>
      </c>
      <c r="AA228" s="153" t="inlineStr">
        <is>
          <t>IT Operations</t>
        </is>
      </c>
      <c r="AB228" s="121">
        <f>VLOOKUP(AA228,CategorySummaryTable[],2,FALSE)</f>
        <v/>
      </c>
    </row>
    <row r="229" ht="64" customHeight="1" s="142">
      <c r="B229" s="80" t="inlineStr">
        <is>
          <t>Infopath</t>
        </is>
      </c>
      <c r="C229" s="75" t="inlineStr">
        <is>
          <t>application for designing, distributing, filling and submitting electronic forms containing structured data</t>
        </is>
      </c>
      <c r="D229" s="75" t="inlineStr">
        <is>
          <t>Unknown</t>
        </is>
      </c>
      <c r="E229" s="75" t="inlineStr">
        <is>
          <t>Microsoft</t>
        </is>
      </c>
      <c r="F229" s="75" t="n"/>
      <c r="G229" s="75" t="n"/>
      <c r="H229" s="75" t="n"/>
      <c r="I229" s="75" t="n"/>
      <c r="J229" s="75" t="inlineStr">
        <is>
          <t>Other</t>
        </is>
      </c>
      <c r="K229" s="75" t="n"/>
      <c r="L229" s="75" t="n"/>
      <c r="M229" s="75" t="n"/>
      <c r="N229" s="75" t="n"/>
      <c r="O229" s="75" t="n"/>
      <c r="P229" s="75" t="n"/>
      <c r="Q229" s="75" t="n"/>
      <c r="R229" s="75" t="n"/>
      <c r="S229" s="75" t="n"/>
      <c r="T229" s="76" t="n"/>
      <c r="U229" s="75" t="n"/>
      <c r="V229" s="76" t="n"/>
      <c r="Y229" s="153" t="inlineStr">
        <is>
          <t>Global Inv - Mar 2026</t>
        </is>
      </c>
      <c r="Z229" s="153" t="inlineStr">
        <is>
          <t>Electronic forms design and data collection software</t>
        </is>
      </c>
      <c r="AA229" s="153" t="inlineStr">
        <is>
          <t>IT Operations</t>
        </is>
      </c>
      <c r="AB229" s="121">
        <f>VLOOKUP(AA229,CategorySummaryTable[],2,FALSE)</f>
        <v/>
      </c>
    </row>
    <row r="230" ht="80" customHeight="1" s="142">
      <c r="B230" s="80" t="inlineStr">
        <is>
          <t>Informatica</t>
        </is>
      </c>
      <c r="C230" s="75" t="inlineStr">
        <is>
          <t>Enterprise Cloud Data Management</t>
        </is>
      </c>
      <c r="D230" s="75" t="inlineStr">
        <is>
          <t>Unknown</t>
        </is>
      </c>
      <c r="E230" s="75" t="inlineStr">
        <is>
          <t>Informatica</t>
        </is>
      </c>
      <c r="F230" s="75" t="n"/>
      <c r="G230" s="75" t="n"/>
      <c r="H230" s="75" t="n"/>
      <c r="I230" s="75" t="n"/>
      <c r="J230" s="75" t="inlineStr">
        <is>
          <t>Other</t>
        </is>
      </c>
      <c r="K230" s="75" t="n"/>
      <c r="L230" s="75" t="n"/>
      <c r="M230" s="75" t="n"/>
      <c r="N230" s="75" t="n"/>
      <c r="O230" s="75" t="n"/>
      <c r="P230" s="75" t="n"/>
      <c r="Q230" s="75" t="n"/>
      <c r="R230" s="75" t="n"/>
      <c r="S230" s="75" t="n"/>
      <c r="T230" s="76" t="n"/>
      <c r="U230" s="75" t="n"/>
      <c r="V230" s="76" t="n"/>
      <c r="Y230" s="153" t="inlineStr">
        <is>
          <t>Global Inv - Mar 2026</t>
        </is>
      </c>
      <c r="Z230" s="153" t="inlineStr">
        <is>
          <t>Enterprise data integration and management software</t>
        </is>
      </c>
      <c r="AA230" s="153" t="inlineStr">
        <is>
          <t>Data and Analytics</t>
        </is>
      </c>
      <c r="AB230" s="121">
        <f>VLOOKUP(AA230,CategorySummaryTable[],2,FALSE)</f>
        <v/>
      </c>
    </row>
    <row r="231" ht="64" customHeight="1" s="142">
      <c r="B231" s="90" t="inlineStr">
        <is>
          <t>Infrastructure Reporting Server</t>
        </is>
      </c>
      <c r="C231" s="75" t="inlineStr">
        <is>
          <t>(US311TSQ100) The Asset Management Tool for the GAC will be decommissioned some time in this quarter when Asset in ServiceNow goes live.</t>
        </is>
      </c>
      <c r="D231" s="75" t="inlineStr">
        <is>
          <t>Active</t>
        </is>
      </c>
      <c r="E231" s="75" t="n"/>
      <c r="F231" s="75" t="n"/>
      <c r="G231" s="75" t="n"/>
      <c r="H231" s="75" t="inlineStr">
        <is>
          <t>Corporate</t>
        </is>
      </c>
      <c r="I231" s="75" t="inlineStr">
        <is>
          <t>Yes</t>
        </is>
      </c>
      <c r="J231" s="75" t="n"/>
      <c r="K231" s="75" t="n"/>
      <c r="L231" s="75" t="n"/>
      <c r="M231" s="75" t="n"/>
      <c r="N231" s="75" t="n"/>
      <c r="O231" s="75" t="n"/>
      <c r="P231" s="75" t="n"/>
      <c r="Q231" s="75" t="inlineStr">
        <is>
          <t>No</t>
        </is>
      </c>
      <c r="R231" s="75" t="n"/>
      <c r="S231" s="75" t="inlineStr">
        <is>
          <t>John Feist</t>
        </is>
      </c>
      <c r="T231" s="76" t="n">
        <v>44580</v>
      </c>
      <c r="U231" s="75" t="inlineStr">
        <is>
          <t>Jan 19, 2022 via John Feist. Also, server?</t>
        </is>
      </c>
      <c r="V231" s="76" t="n">
        <v>44580</v>
      </c>
      <c r="Y231" s="153" t="inlineStr">
        <is>
          <t>Global Inv - Mar 2026</t>
        </is>
      </c>
      <c r="Z231" s="153" t="inlineStr">
        <is>
          <t>NA</t>
        </is>
      </c>
      <c r="AA231" s="153" t="inlineStr">
        <is>
          <t>IT Operations</t>
        </is>
      </c>
      <c r="AB231" s="121">
        <f>VLOOKUP(AA231,CategorySummaryTable[],2,FALSE)</f>
        <v/>
      </c>
    </row>
    <row r="232" ht="80" customHeight="1" s="142">
      <c r="B232" s="90" t="inlineStr">
        <is>
          <t>InSpec</t>
        </is>
      </c>
      <c r="C232" s="75" t="inlineStr">
        <is>
          <t>Quality measurement</t>
        </is>
      </c>
      <c r="D232" s="75" t="inlineStr">
        <is>
          <t>Unknown</t>
        </is>
      </c>
      <c r="E232" s="75" t="n"/>
      <c r="F232" s="75" t="n"/>
      <c r="G232" s="75" t="n"/>
      <c r="H232" s="75" t="inlineStr">
        <is>
          <t>Cincinnati</t>
        </is>
      </c>
      <c r="I232" s="75" t="inlineStr">
        <is>
          <t>Yes</t>
        </is>
      </c>
      <c r="J232" s="75" t="n"/>
      <c r="K232" s="75" t="inlineStr">
        <is>
          <t>Desktop</t>
        </is>
      </c>
      <c r="L232" s="75" t="n"/>
      <c r="M232" s="75" t="n"/>
      <c r="N232" s="75" t="n"/>
      <c r="O232" s="75" t="n"/>
      <c r="P232" s="75" t="n"/>
      <c r="Q232" s="75" t="inlineStr">
        <is>
          <t>Y</t>
        </is>
      </c>
      <c r="R232" s="75" t="n"/>
      <c r="S232" s="75" t="inlineStr">
        <is>
          <t>Michael Patterson</t>
        </is>
      </c>
      <c r="T232" s="76" t="n">
        <v>44516</v>
      </c>
      <c r="U232" s="75" t="inlineStr">
        <is>
          <t>via Michael Patterson</t>
        </is>
      </c>
      <c r="V232" s="76" t="n">
        <v>44516</v>
      </c>
      <c r="Y232" s="153" t="inlineStr">
        <is>
          <t>Global Inv - Mar 2026</t>
        </is>
      </c>
      <c r="Z232" s="153" t="inlineStr">
        <is>
          <t>NA</t>
        </is>
      </c>
      <c r="AA232" s="153" t="inlineStr">
        <is>
          <t>Quality and Validation</t>
        </is>
      </c>
      <c r="AB232" s="121">
        <f>VLOOKUP(AA232,CategorySummaryTable[],2,FALSE)</f>
        <v/>
      </c>
    </row>
    <row r="233" ht="80" customHeight="1" s="142">
      <c r="B233" s="57" t="inlineStr">
        <is>
          <t>Integra App
(Integra mobile sales app)</t>
        </is>
      </c>
      <c r="C233" s="75" t="inlineStr">
        <is>
          <t>Integra mobile sales application used by sales team, marketing, and customer service.
Resource Library: https://integralife.sharepoint.com/sites/Azure/Integra%20Mobile%20Sales%20App/Forms/AllItems.aspx</t>
        </is>
      </c>
      <c r="D233" s="75" t="inlineStr">
        <is>
          <t>Active</t>
        </is>
      </c>
      <c r="E233" s="75" t="inlineStr">
        <is>
          <t>partnerwithshyft</t>
        </is>
      </c>
      <c r="F233" s="75" t="n"/>
      <c r="G233" s="75" t="inlineStr">
        <is>
          <t>Enterprise</t>
        </is>
      </c>
      <c r="H233" s="75" t="n"/>
      <c r="I233" s="75" t="n"/>
      <c r="J233" s="75" t="inlineStr">
        <is>
          <t>Azure</t>
        </is>
      </c>
      <c r="K233" s="75" t="inlineStr">
        <is>
          <t>Desktop; Web; IOS</t>
        </is>
      </c>
      <c r="L233" s="75" t="n"/>
      <c r="M233" s="75" t="inlineStr">
        <is>
          <t>In progress</t>
        </is>
      </c>
      <c r="N233" s="75" t="n"/>
      <c r="O233" s="75" t="n"/>
      <c r="P233" s="75" t="inlineStr">
        <is>
          <t>T2/T3</t>
        </is>
      </c>
      <c r="Q233" s="75" t="inlineStr">
        <is>
          <t>No</t>
        </is>
      </c>
      <c r="R233" s="75" t="n"/>
      <c r="S233" s="75" t="inlineStr">
        <is>
          <t>Brooke Siefert; Vincent Lu; David Zaruduski</t>
        </is>
      </c>
      <c r="T233" s="76" t="n">
        <v>44651</v>
      </c>
      <c r="U233" s="75" t="inlineStr">
        <is>
          <t>via Brooke Siefert; Vincent Lu; David Zaruduski</t>
        </is>
      </c>
      <c r="V233" s="76" t="n">
        <v>44651</v>
      </c>
      <c r="Y233" s="153" t="inlineStr">
        <is>
          <t>Global Inv - Mar 2026</t>
        </is>
      </c>
      <c r="Z233" s="153" t="inlineStr">
        <is>
          <t>Mobile sales/marketing application for field reps</t>
        </is>
      </c>
      <c r="AA233" s="153" t="inlineStr">
        <is>
          <t>Sales</t>
        </is>
      </c>
      <c r="AB233" s="121">
        <f>VLOOKUP(AA233,CategorySummaryTable[],2,FALSE)</f>
        <v/>
      </c>
    </row>
    <row r="234" ht="80" customHeight="1" s="142">
      <c r="B234" s="77" t="inlineStr">
        <is>
          <t>Integra Pore Size macro- vectorized stereology (?)</t>
        </is>
      </c>
      <c r="C234" s="75" t="n"/>
      <c r="D234" s="75" t="inlineStr">
        <is>
          <t>Unknown</t>
        </is>
      </c>
      <c r="E234" s="75" t="n"/>
      <c r="F234" s="75" t="n"/>
      <c r="G234" s="75" t="n"/>
      <c r="H234" s="75" t="inlineStr">
        <is>
          <t>Plainsboro Corp</t>
        </is>
      </c>
      <c r="I234" s="75" t="inlineStr">
        <is>
          <t>Yes</t>
        </is>
      </c>
      <c r="J234" s="75" t="n"/>
      <c r="K234" s="75" t="inlineStr">
        <is>
          <t>local</t>
        </is>
      </c>
      <c r="L234" s="75" t="n"/>
      <c r="M234" s="75" t="n"/>
      <c r="N234" s="75" t="n"/>
      <c r="O234" s="75" t="n"/>
      <c r="P234" s="75" t="n"/>
      <c r="Q234" s="75" t="inlineStr">
        <is>
          <t>In Progress</t>
        </is>
      </c>
      <c r="R234" s="75" t="n"/>
      <c r="S234" s="75" t="n"/>
      <c r="T234" s="76" t="n"/>
      <c r="U234" s="75" t="n"/>
      <c r="V234" s="76" t="n"/>
      <c r="Y234" s="153" t="inlineStr">
        <is>
          <t>Global Inv - Mar 2026</t>
        </is>
      </c>
      <c r="Z234" s="153" t="inlineStr">
        <is>
          <t>NA</t>
        </is>
      </c>
      <c r="AA234" s="153" t="inlineStr">
        <is>
          <t>Quality and Validation</t>
        </is>
      </c>
      <c r="AB234" s="121">
        <f>VLOOKUP(AA234,CategorySummaryTable[],2,FALSE)</f>
        <v/>
      </c>
    </row>
    <row r="235" ht="80" customHeight="1" s="142">
      <c r="B235" s="80" t="inlineStr">
        <is>
          <t>Integra-iPADAPPServer-02</t>
        </is>
      </c>
      <c r="C235" s="75" t="inlineStr">
        <is>
          <t>Web server managed by Corporate Marketing group</t>
        </is>
      </c>
      <c r="D235" s="75" t="inlineStr">
        <is>
          <t>Unknown</t>
        </is>
      </c>
      <c r="E235" s="75" t="n"/>
      <c r="F235" s="75" t="n"/>
      <c r="G235" s="75" t="n"/>
      <c r="H235" s="75" t="n"/>
      <c r="I235" s="75" t="n"/>
      <c r="J235" s="75" t="n"/>
      <c r="K235" s="75" t="n"/>
      <c r="L235" s="75" t="n"/>
      <c r="M235" s="75" t="n"/>
      <c r="N235" s="75" t="n"/>
      <c r="O235" s="75" t="n"/>
      <c r="P235" s="75" t="n"/>
      <c r="Q235" s="75" t="n"/>
      <c r="R235" s="75" t="n"/>
      <c r="S235" s="75" t="n"/>
      <c r="T235" s="76" t="n"/>
      <c r="U235" s="75" t="inlineStr">
        <is>
          <t>server?</t>
        </is>
      </c>
      <c r="V235" s="76" t="n"/>
      <c r="Y235" s="153" t="inlineStr">
        <is>
          <t>Global Inv - Mar 2026</t>
        </is>
      </c>
      <c r="Z235" s="153" t="inlineStr">
        <is>
          <t>NA</t>
        </is>
      </c>
      <c r="AA235" s="153" t="inlineStr">
        <is>
          <t>Marketing</t>
        </is>
      </c>
      <c r="AB235" s="121">
        <f>VLOOKUP(AA235,CategorySummaryTable[],2,FALSE)</f>
        <v/>
      </c>
    </row>
    <row r="236" ht="80" customHeight="1" s="142">
      <c r="B236" s="80" t="inlineStr">
        <is>
          <t>Integra-iPADAPPServer-Staging</t>
        </is>
      </c>
      <c r="C236" s="75" t="inlineStr">
        <is>
          <t>Web server managed by Corporate Marketing group</t>
        </is>
      </c>
      <c r="D236" s="75" t="inlineStr">
        <is>
          <t>Unknown</t>
        </is>
      </c>
      <c r="E236" s="75" t="n"/>
      <c r="F236" s="75" t="n"/>
      <c r="G236" s="75" t="n"/>
      <c r="H236" s="75" t="n"/>
      <c r="I236" s="75" t="n"/>
      <c r="J236" s="75" t="n"/>
      <c r="K236" s="75" t="n"/>
      <c r="L236" s="75" t="n"/>
      <c r="M236" s="75" t="n"/>
      <c r="N236" s="75" t="n"/>
      <c r="O236" s="75" t="n"/>
      <c r="P236" s="75" t="n"/>
      <c r="Q236" s="75" t="n"/>
      <c r="R236" s="75" t="n"/>
      <c r="S236" s="75" t="n"/>
      <c r="T236" s="76" t="n"/>
      <c r="U236" s="75" t="inlineStr">
        <is>
          <t>server?</t>
        </is>
      </c>
      <c r="V236" s="76" t="n"/>
      <c r="Y236" s="153" t="inlineStr">
        <is>
          <t>Global Inv - Mar 2026</t>
        </is>
      </c>
      <c r="Z236" s="153" t="inlineStr">
        <is>
          <t>NA</t>
        </is>
      </c>
      <c r="AA236" s="153" t="inlineStr">
        <is>
          <t>Marketing</t>
        </is>
      </c>
      <c r="AB236" s="121">
        <f>VLOOKUP(AA236,CategorySummaryTable[],2,FALSE)</f>
        <v/>
      </c>
    </row>
    <row r="237" ht="80" customHeight="1" s="142">
      <c r="B237" s="80" t="inlineStr">
        <is>
          <t>Integralife</t>
        </is>
      </c>
      <c r="C237" s="75" t="n"/>
      <c r="D237" s="75" t="inlineStr">
        <is>
          <t>Unknown</t>
        </is>
      </c>
      <c r="E237" s="75" t="n"/>
      <c r="F237" s="75" t="n"/>
      <c r="G237" s="75" t="n"/>
      <c r="H237" s="75" t="n"/>
      <c r="I237" s="75" t="n"/>
      <c r="J237" s="75" t="n"/>
      <c r="K237" s="75" t="n"/>
      <c r="L237" s="75" t="n"/>
      <c r="M237" s="75" t="n"/>
      <c r="N237" s="75" t="n"/>
      <c r="O237" s="75" t="n"/>
      <c r="P237" s="75" t="n"/>
      <c r="Q237" s="75" t="n"/>
      <c r="R237" s="75" t="n"/>
      <c r="S237" s="75" t="n"/>
      <c r="T237" s="76" t="n"/>
      <c r="U237" s="75" t="inlineStr">
        <is>
          <t>server?</t>
        </is>
      </c>
      <c r="V237" s="76" t="n"/>
      <c r="Y237" s="153" t="inlineStr">
        <is>
          <t>Global Inv - Mar 2026</t>
        </is>
      </c>
      <c r="Z237" s="153" t="inlineStr">
        <is>
          <t>NA</t>
        </is>
      </c>
      <c r="AA237" s="153" t="inlineStr">
        <is>
          <t>Marketing</t>
        </is>
      </c>
      <c r="AB237" s="121">
        <f>VLOOKUP(AA237,CategorySummaryTable[],2,FALSE)</f>
        <v/>
      </c>
    </row>
    <row r="238" ht="64" customHeight="1" s="142">
      <c r="B238" s="77" t="inlineStr">
        <is>
          <t>IP Agent</t>
        </is>
      </c>
      <c r="C238" s="75" t="n"/>
      <c r="D238" s="75" t="inlineStr">
        <is>
          <t>Unknown</t>
        </is>
      </c>
      <c r="E238" s="75" t="inlineStr">
        <is>
          <t>Avaya</t>
        </is>
      </c>
      <c r="F238" s="75" t="n"/>
      <c r="G238" s="75" t="n"/>
      <c r="H238" s="75" t="inlineStr">
        <is>
          <t>Billerica</t>
        </is>
      </c>
      <c r="I238" s="75" t="inlineStr">
        <is>
          <t>Yes</t>
        </is>
      </c>
      <c r="J238" s="75" t="n"/>
      <c r="K238" s="75" t="inlineStr">
        <is>
          <t>Desktop/Client Server</t>
        </is>
      </c>
      <c r="L238" s="75" t="n"/>
      <c r="M238" s="75" t="n"/>
      <c r="N238" s="75" t="n"/>
      <c r="O238" s="75" t="n"/>
      <c r="P238" s="75" t="n"/>
      <c r="Q238" s="75" t="inlineStr">
        <is>
          <t>N</t>
        </is>
      </c>
      <c r="R238" s="75" t="n"/>
      <c r="S238" s="75" t="n"/>
      <c r="T238" s="76" t="n"/>
      <c r="U238" s="75" t="n"/>
      <c r="V238" s="76" t="n"/>
      <c r="Y238" s="153" t="inlineStr">
        <is>
          <t>Global Inv - Mar 2026</t>
        </is>
      </c>
      <c r="Z238" s="153" t="inlineStr">
        <is>
          <t>Call center agent IP softphone application</t>
        </is>
      </c>
      <c r="AA238" s="153" t="inlineStr">
        <is>
          <t>IT Operations</t>
        </is>
      </c>
      <c r="AB238" s="121">
        <f>VLOOKUP(AA238,CategorySummaryTable[],2,FALSE)</f>
        <v/>
      </c>
    </row>
    <row r="239" ht="64" customHeight="1" s="142">
      <c r="B239" s="77" t="inlineStr">
        <is>
          <t>IP Softphone</t>
        </is>
      </c>
      <c r="C239" s="75" t="n"/>
      <c r="D239" s="75" t="inlineStr">
        <is>
          <t>Unknown</t>
        </is>
      </c>
      <c r="E239" s="75" t="inlineStr">
        <is>
          <t>Avaya</t>
        </is>
      </c>
      <c r="F239" s="75" t="n"/>
      <c r="G239" s="75" t="n"/>
      <c r="H239" s="75" t="inlineStr">
        <is>
          <t>Billerica</t>
        </is>
      </c>
      <c r="I239" s="75" t="n"/>
      <c r="J239" s="75" t="n"/>
      <c r="K239" s="75" t="inlineStr">
        <is>
          <t>Desktop/Client Server</t>
        </is>
      </c>
      <c r="L239" s="75" t="n"/>
      <c r="M239" s="75" t="n"/>
      <c r="N239" s="75" t="n"/>
      <c r="O239" s="75" t="n"/>
      <c r="P239" s="75" t="n"/>
      <c r="Q239" s="75" t="inlineStr">
        <is>
          <t>N</t>
        </is>
      </c>
      <c r="R239" s="75" t="n"/>
      <c r="S239" s="75" t="n"/>
      <c r="T239" s="76" t="n"/>
      <c r="U239" s="75" t="n"/>
      <c r="V239" s="76" t="n"/>
      <c r="Y239" s="153" t="inlineStr">
        <is>
          <t>Global Inv - Mar 2026</t>
        </is>
      </c>
      <c r="Z239" s="153" t="inlineStr">
        <is>
          <t>VoIP softphone application for desktop/laptop</t>
        </is>
      </c>
      <c r="AA239" s="153" t="inlineStr">
        <is>
          <t>IT Operations</t>
        </is>
      </c>
      <c r="AB239" s="121">
        <f>VLOOKUP(AA239,CategorySummaryTable[],2,FALSE)</f>
        <v/>
      </c>
    </row>
    <row r="240" ht="64" customHeight="1" s="142">
      <c r="B240" s="80" t="inlineStr">
        <is>
          <t>IPAM IP Control</t>
        </is>
      </c>
      <c r="C240" s="75" t="inlineStr">
        <is>
          <t>Server for IP addressing database</t>
        </is>
      </c>
      <c r="D240" s="75" t="inlineStr">
        <is>
          <t>Unknown</t>
        </is>
      </c>
      <c r="E240" s="75" t="n"/>
      <c r="F240" s="75" t="n"/>
      <c r="G240" s="75" t="inlineStr">
        <is>
          <t>Enterprise</t>
        </is>
      </c>
      <c r="H240" s="75" t="n"/>
      <c r="I240" s="75" t="inlineStr">
        <is>
          <t>Yes</t>
        </is>
      </c>
      <c r="J240" s="75" t="n"/>
      <c r="K240" s="75" t="inlineStr">
        <is>
          <t>On Premises (Client/Server)</t>
        </is>
      </c>
      <c r="L240" s="75" t="n"/>
      <c r="M240" s="75" t="n"/>
      <c r="N240" s="75" t="n"/>
      <c r="O240" s="75" t="n"/>
      <c r="P240" s="75" t="n"/>
      <c r="Q240" s="75" t="inlineStr">
        <is>
          <t>No</t>
        </is>
      </c>
      <c r="R240" s="75" t="n"/>
      <c r="S240" s="75" t="n"/>
      <c r="T240" s="76" t="n"/>
      <c r="U240" s="75" t="inlineStr">
        <is>
          <t>server?</t>
        </is>
      </c>
      <c r="V240" s="76" t="n"/>
      <c r="Y240" s="153" t="inlineStr">
        <is>
          <t>Global Inv - Mar 2026</t>
        </is>
      </c>
      <c r="Z240" s="153" t="inlineStr">
        <is>
          <t>IP address management (IPAM) software</t>
        </is>
      </c>
      <c r="AA240" s="153" t="inlineStr">
        <is>
          <t>IT Operations</t>
        </is>
      </c>
      <c r="AB240" s="121">
        <f>VLOOKUP(AA240,CategorySummaryTable[],2,FALSE)</f>
        <v/>
      </c>
    </row>
    <row r="241" ht="80" customHeight="1" s="142">
      <c r="B241" s="102" t="inlineStr">
        <is>
          <t>IPM Labeling (Access)</t>
        </is>
      </c>
      <c r="C241" s="59" t="inlineStr">
        <is>
          <t>Decommissioned since SLC is on Oracle now?</t>
        </is>
      </c>
      <c r="D241" s="59" t="inlineStr">
        <is>
          <t>Decomissioned?</t>
        </is>
      </c>
      <c r="E241" s="96" t="n"/>
      <c r="F241" s="75" t="n"/>
      <c r="G241" s="75" t="n"/>
      <c r="H241" s="96" t="inlineStr">
        <is>
          <t>Salt Lake city</t>
        </is>
      </c>
      <c r="I241" s="96" t="n"/>
      <c r="J241" s="96" t="n"/>
      <c r="K241" s="96" t="inlineStr">
        <is>
          <t>Desktop</t>
        </is>
      </c>
      <c r="L241" s="75" t="n"/>
      <c r="M241" s="96" t="n"/>
      <c r="N241" s="75" t="n"/>
      <c r="O241" s="75" t="n"/>
      <c r="P241" s="97" t="n"/>
      <c r="Q241" s="96" t="inlineStr">
        <is>
          <t>N</t>
        </is>
      </c>
      <c r="R241" s="96" t="n"/>
      <c r="S241" s="103" t="inlineStr">
        <is>
          <t>Dave Croson</t>
        </is>
      </c>
      <c r="T241" s="98" t="inlineStr">
        <is>
          <t>Jan 19 2022</t>
        </is>
      </c>
      <c r="U241" s="103" t="inlineStr">
        <is>
          <t>Jan 19, 2022 via Dave Croson</t>
        </is>
      </c>
      <c r="V241" s="98" t="n"/>
      <c r="Y241" s="153" t="inlineStr">
        <is>
          <t>Global Inv - Mar 2026</t>
        </is>
      </c>
      <c r="Z241" s="153" t="inlineStr">
        <is>
          <t>NA</t>
        </is>
      </c>
      <c r="AA241" s="153" t="inlineStr">
        <is>
          <t>Manufacturing</t>
        </is>
      </c>
      <c r="AB241" s="121">
        <f>VLOOKUP(AA241,CategorySummaryTable[],2,FALSE)</f>
        <v/>
      </c>
    </row>
    <row r="242" ht="80" customHeight="1" s="142">
      <c r="B242" s="80" t="inlineStr">
        <is>
          <t>IQX Server</t>
        </is>
      </c>
      <c r="C242" s="75" t="inlineStr">
        <is>
          <t>Pricing quote website hosting server - Used by Instruments division</t>
        </is>
      </c>
      <c r="D242" s="75" t="inlineStr">
        <is>
          <t>Unknown</t>
        </is>
      </c>
      <c r="E242" s="75" t="n"/>
      <c r="F242" s="75" t="n"/>
      <c r="G242" s="75" t="n"/>
      <c r="H242" s="75" t="n"/>
      <c r="I242" s="75" t="n"/>
      <c r="J242" s="75" t="n"/>
      <c r="K242" s="75" t="n"/>
      <c r="L242" s="75" t="n"/>
      <c r="M242" s="75" t="n"/>
      <c r="N242" s="75" t="n"/>
      <c r="O242" s="75" t="n"/>
      <c r="P242" s="75" t="n"/>
      <c r="Q242" s="75" t="n"/>
      <c r="R242" s="75" t="n"/>
      <c r="S242" s="75" t="n"/>
      <c r="T242" s="76" t="n"/>
      <c r="U242" s="75" t="inlineStr">
        <is>
          <t>Has been been sunset yet? Also, server?</t>
        </is>
      </c>
      <c r="V242" s="76" t="n"/>
      <c r="Y242" s="153" t="inlineStr">
        <is>
          <t>Global Inv - Mar 2026</t>
        </is>
      </c>
      <c r="Z242" s="153" t="inlineStr">
        <is>
          <t>NA</t>
        </is>
      </c>
      <c r="AA242" s="153" t="inlineStr">
        <is>
          <t>Sales</t>
        </is>
      </c>
      <c r="AB242" s="121">
        <f>VLOOKUP(AA242,CategorySummaryTable[],2,FALSE)</f>
        <v/>
      </c>
    </row>
    <row r="243" ht="64" customHeight="1" s="142">
      <c r="B243" s="80" t="inlineStr">
        <is>
          <t>IS System Tools</t>
        </is>
      </c>
      <c r="C243" s="75" t="n"/>
      <c r="D243" s="75" t="inlineStr">
        <is>
          <t>Unknown</t>
        </is>
      </c>
      <c r="E243" s="75" t="n"/>
      <c r="F243" s="75" t="n"/>
      <c r="G243" s="75" t="inlineStr">
        <is>
          <t>Enterprise</t>
        </is>
      </c>
      <c r="H243" s="75" t="n"/>
      <c r="I243" s="75" t="inlineStr">
        <is>
          <t>Yes</t>
        </is>
      </c>
      <c r="J243" s="75" t="n"/>
      <c r="K243" s="75" t="n"/>
      <c r="L243" s="75" t="n"/>
      <c r="M243" s="75" t="n"/>
      <c r="N243" s="75" t="n"/>
      <c r="O243" s="75" t="n"/>
      <c r="P243" s="75" t="n"/>
      <c r="Q243" s="75" t="inlineStr">
        <is>
          <t>No</t>
        </is>
      </c>
      <c r="R243" s="75" t="n"/>
      <c r="S243" s="75" t="n"/>
      <c r="T243" s="76" t="n"/>
      <c r="U243" s="75" t="n"/>
      <c r="V243" s="76" t="n"/>
      <c r="Y243" s="153" t="inlineStr">
        <is>
          <t>Global Inv - Mar 2026</t>
        </is>
      </c>
      <c r="Z243" s="153" t="inlineStr">
        <is>
          <t>NA</t>
        </is>
      </c>
      <c r="AA243" s="153" t="inlineStr">
        <is>
          <t>IT Operations</t>
        </is>
      </c>
      <c r="AB243" s="121">
        <f>VLOOKUP(AA243,CategorySummaryTable[],2,FALSE)</f>
        <v/>
      </c>
    </row>
    <row r="244" ht="64" customHeight="1" s="142">
      <c r="B244" s="80" t="inlineStr">
        <is>
          <t>IS Test Servers</t>
        </is>
      </c>
      <c r="C244" s="75" t="inlineStr">
        <is>
          <t>Remove?</t>
        </is>
      </c>
      <c r="D244" s="75" t="inlineStr">
        <is>
          <t>Unknown</t>
        </is>
      </c>
      <c r="E244" s="75" t="n"/>
      <c r="F244" s="75" t="n"/>
      <c r="G244" s="75" t="inlineStr">
        <is>
          <t>Enterprise</t>
        </is>
      </c>
      <c r="H244" s="75" t="n"/>
      <c r="I244" s="75" t="inlineStr">
        <is>
          <t>Yes</t>
        </is>
      </c>
      <c r="J244" s="75" t="n"/>
      <c r="K244" s="75" t="n"/>
      <c r="L244" s="75" t="n"/>
      <c r="M244" s="75" t="n"/>
      <c r="N244" s="75" t="n"/>
      <c r="O244" s="75" t="n"/>
      <c r="P244" s="75" t="n"/>
      <c r="Q244" s="75" t="inlineStr">
        <is>
          <t>No</t>
        </is>
      </c>
      <c r="R244" s="75" t="n"/>
      <c r="S244" s="75" t="n"/>
      <c r="T244" s="76" t="n"/>
      <c r="U244" s="75" t="inlineStr">
        <is>
          <t>server?</t>
        </is>
      </c>
      <c r="V244" s="76" t="n"/>
      <c r="Y244" s="153" t="inlineStr">
        <is>
          <t>Global Inv - Mar 2026</t>
        </is>
      </c>
      <c r="Z244" s="153" t="inlineStr">
        <is>
          <t>NA</t>
        </is>
      </c>
      <c r="AA244" s="153" t="inlineStr">
        <is>
          <t>IT Operations</t>
        </is>
      </c>
      <c r="AB244" s="121">
        <f>VLOOKUP(AA244,CategorySummaryTable[],2,FALSE)</f>
        <v/>
      </c>
    </row>
    <row r="245" ht="80" customHeight="1" s="142">
      <c r="B245" s="77" t="inlineStr">
        <is>
          <t>Ispring (Free)</t>
        </is>
      </c>
      <c r="C245" s="75" t="inlineStr">
        <is>
          <t>Marked for deletetion</t>
        </is>
      </c>
      <c r="D245" s="75" t="inlineStr">
        <is>
          <t>Unknown</t>
        </is>
      </c>
      <c r="E245" s="75" t="n"/>
      <c r="F245" s="75" t="n"/>
      <c r="G245" s="75" t="n"/>
      <c r="H245" s="75" t="inlineStr">
        <is>
          <t>St. Aubin</t>
        </is>
      </c>
      <c r="I245" s="75" t="inlineStr">
        <is>
          <t>Yes</t>
        </is>
      </c>
      <c r="J245" s="75" t="n"/>
      <c r="K245" s="75" t="n"/>
      <c r="L245" s="75" t="n"/>
      <c r="M245" s="75" t="n"/>
      <c r="N245" s="75" t="n"/>
      <c r="O245" s="75" t="n"/>
      <c r="P245" s="75" t="n"/>
      <c r="Q245" s="75" t="n"/>
      <c r="R245" s="75" t="n"/>
      <c r="S245" s="75" t="n"/>
      <c r="T245" s="76" t="n"/>
      <c r="U245" s="75" t="n"/>
      <c r="V245" s="76" t="n"/>
      <c r="Y245" s="153" t="inlineStr">
        <is>
          <t>Global Inv - Mar 2026</t>
        </is>
      </c>
      <c r="Z245" s="153" t="inlineStr">
        <is>
          <t>E-learning course authoring software</t>
        </is>
      </c>
      <c r="AA245" s="153" t="inlineStr">
        <is>
          <t>Human Resources and Talent</t>
        </is>
      </c>
      <c r="AB245" s="121">
        <f>VLOOKUP(AA245,CategorySummaryTable[],2,FALSE)</f>
        <v/>
      </c>
    </row>
    <row r="246" ht="80" customHeight="1" s="142">
      <c r="B246" s="77" t="inlineStr">
        <is>
          <t>iSprint Client Update</t>
        </is>
      </c>
      <c r="C246" s="75" t="inlineStr">
        <is>
          <t>Marked for deletetion</t>
        </is>
      </c>
      <c r="D246" s="75" t="inlineStr">
        <is>
          <t>Unknown</t>
        </is>
      </c>
      <c r="E246" s="75" t="inlineStr">
        <is>
          <t>ADP</t>
        </is>
      </c>
      <c r="F246" s="75" t="n"/>
      <c r="G246" s="75" t="n"/>
      <c r="H246" s="75" t="inlineStr">
        <is>
          <t>St. Aubin</t>
        </is>
      </c>
      <c r="I246" s="75" t="n"/>
      <c r="J246" s="75" t="inlineStr">
        <is>
          <t>Other</t>
        </is>
      </c>
      <c r="K246" s="75" t="inlineStr">
        <is>
          <t>SaaS</t>
        </is>
      </c>
      <c r="L246" s="75" t="n"/>
      <c r="M246" s="75" t="n"/>
      <c r="N246" s="75" t="n"/>
      <c r="O246" s="75" t="n"/>
      <c r="P246" s="75" t="n"/>
      <c r="Q246" s="75" t="n"/>
      <c r="R246" s="75" t="n"/>
      <c r="S246" s="75" t="n"/>
      <c r="T246" s="76" t="n"/>
      <c r="U246" s="75" t="n"/>
      <c r="V246" s="76" t="n"/>
      <c r="Y246" s="153" t="inlineStr">
        <is>
          <t>Global Inv - Mar 2026</t>
        </is>
      </c>
      <c r="Z246" s="153" t="inlineStr">
        <is>
          <t>NA</t>
        </is>
      </c>
      <c r="AA246" s="153" t="inlineStr">
        <is>
          <t>Human Resources and Talent</t>
        </is>
      </c>
      <c r="AB246" s="121">
        <f>VLOOKUP(AA246,CategorySummaryTable[],2,FALSE)</f>
        <v/>
      </c>
    </row>
    <row r="247" ht="64" customHeight="1" s="142">
      <c r="B247" s="56" t="inlineStr">
        <is>
          <t>Java Runtime Env</t>
        </is>
      </c>
      <c r="C247" s="75" t="n"/>
      <c r="D247" s="75" t="inlineStr">
        <is>
          <t>Active</t>
        </is>
      </c>
      <c r="E247" s="75" t="inlineStr">
        <is>
          <t>Oracle</t>
        </is>
      </c>
      <c r="F247" s="75" t="n"/>
      <c r="G247" s="75" t="n"/>
      <c r="H247" s="75" t="inlineStr">
        <is>
          <t>Global</t>
        </is>
      </c>
      <c r="I247" s="75" t="inlineStr">
        <is>
          <t>Yes</t>
        </is>
      </c>
      <c r="J247" s="75" t="n"/>
      <c r="K247" s="75" t="n"/>
      <c r="L247" s="75" t="n"/>
      <c r="M247" s="75" t="n"/>
      <c r="N247" s="75" t="n"/>
      <c r="O247" s="75" t="n"/>
      <c r="P247" s="75" t="n"/>
      <c r="Q247" s="75" t="n"/>
      <c r="R247" s="75" t="n"/>
      <c r="S247" s="75" t="n"/>
      <c r="T247" s="76" t="n"/>
      <c r="U247" s="75" t="n"/>
      <c r="V247" s="76" t="n"/>
      <c r="W247" s="71" t="inlineStr">
        <is>
          <t>Client to access Oracle screen</t>
        </is>
      </c>
      <c r="Y247" s="153" t="inlineStr">
        <is>
          <t>Global Inv - Mar 2026</t>
        </is>
      </c>
      <c r="Z247" s="153" t="inlineStr">
        <is>
          <t>Java runtime environment (JRE)</t>
        </is>
      </c>
      <c r="AA247" s="153" t="inlineStr">
        <is>
          <t>IT Operations</t>
        </is>
      </c>
      <c r="AB247" s="121">
        <f>VLOOKUP(AA247,CategorySummaryTable[],2,FALSE)</f>
        <v/>
      </c>
    </row>
    <row r="248" ht="64" customHeight="1" s="142">
      <c r="B248" s="77" t="inlineStr">
        <is>
          <t>Java TM 6 update 24</t>
        </is>
      </c>
      <c r="C248" s="75" t="n"/>
      <c r="D248" s="75" t="inlineStr">
        <is>
          <t>Unknown</t>
        </is>
      </c>
      <c r="E248" s="75" t="n"/>
      <c r="F248" s="75" t="n"/>
      <c r="G248" s="75" t="n"/>
      <c r="H248" s="75" t="inlineStr">
        <is>
          <t>St. Aubin</t>
        </is>
      </c>
      <c r="I248" s="75" t="inlineStr">
        <is>
          <t>Yes</t>
        </is>
      </c>
      <c r="J248" s="75" t="n"/>
      <c r="K248" s="75" t="inlineStr">
        <is>
          <t>Desktop app</t>
        </is>
      </c>
      <c r="L248" s="75" t="n"/>
      <c r="M248" s="75" t="n"/>
      <c r="N248" s="75" t="n"/>
      <c r="O248" s="75" t="n"/>
      <c r="P248" s="75" t="n"/>
      <c r="Q248" s="75" t="n"/>
      <c r="R248" s="75" t="n"/>
      <c r="S248" s="75" t="n"/>
      <c r="T248" s="76" t="n"/>
      <c r="U248" s="75" t="n"/>
      <c r="V248" s="76" t="n"/>
      <c r="Y248" s="153" t="inlineStr">
        <is>
          <t>Global Inv - Mar 2026</t>
        </is>
      </c>
      <c r="Z248" s="153" t="inlineStr">
        <is>
          <t>Java runtime environment (JRE)</t>
        </is>
      </c>
      <c r="AA248" s="153" t="inlineStr">
        <is>
          <t>IT Operations</t>
        </is>
      </c>
      <c r="AB248" s="121">
        <f>VLOOKUP(AA248,CategorySummaryTable[],2,FALSE)</f>
        <v/>
      </c>
    </row>
    <row r="249" ht="80" customHeight="1" s="142">
      <c r="B249" s="80" t="inlineStr">
        <is>
          <t>Jitterbug</t>
        </is>
      </c>
      <c r="C249" s="75" t="n"/>
      <c r="D249" s="75" t="inlineStr">
        <is>
          <t>Unknown</t>
        </is>
      </c>
      <c r="E249" s="75" t="n"/>
      <c r="F249" s="75" t="n"/>
      <c r="G249" s="75" t="n"/>
      <c r="H249" s="75" t="inlineStr">
        <is>
          <t>Corporate</t>
        </is>
      </c>
      <c r="I249" s="75" t="inlineStr">
        <is>
          <t>Yes</t>
        </is>
      </c>
      <c r="J249" s="75" t="n"/>
      <c r="K249" s="75" t="n"/>
      <c r="L249" s="75" t="n"/>
      <c r="M249" s="75" t="n"/>
      <c r="N249" s="75" t="n"/>
      <c r="O249" s="75" t="n"/>
      <c r="P249" s="75" t="n"/>
      <c r="Q249" s="75" t="inlineStr">
        <is>
          <t>No</t>
        </is>
      </c>
      <c r="R249" s="75" t="n"/>
      <c r="S249" s="75" t="n"/>
      <c r="T249" s="76" t="n"/>
      <c r="U249" s="75" t="n"/>
      <c r="V249" s="76" t="n"/>
      <c r="Y249" s="153" t="inlineStr">
        <is>
          <t>Global Inv - Mar 2026</t>
        </is>
      </c>
      <c r="Z249" s="153" t="inlineStr">
        <is>
          <t>NA</t>
        </is>
      </c>
      <c r="AA249" s="153" t="inlineStr">
        <is>
          <t>Enterprise Agility</t>
        </is>
      </c>
      <c r="AB249" s="121">
        <f>VLOOKUP(AA249,CategorySummaryTable[],2,FALSE)</f>
        <v/>
      </c>
    </row>
    <row r="250" ht="80" customHeight="1" s="142">
      <c r="B250" s="77" t="inlineStr">
        <is>
          <t>JP Morgan</t>
        </is>
      </c>
      <c r="C250" s="75" t="n"/>
      <c r="D250" s="75" t="inlineStr">
        <is>
          <t>Unknown</t>
        </is>
      </c>
      <c r="E250" s="75" t="inlineStr">
        <is>
          <t>JP Morgan</t>
        </is>
      </c>
      <c r="F250" s="75" t="n"/>
      <c r="G250" s="75" t="n"/>
      <c r="H250" s="75" t="inlineStr">
        <is>
          <t>Dublin</t>
        </is>
      </c>
      <c r="I250" s="75" t="inlineStr">
        <is>
          <t>Yes</t>
        </is>
      </c>
      <c r="J250" s="75" t="n"/>
      <c r="K250" s="75" t="inlineStr">
        <is>
          <t>SaaS</t>
        </is>
      </c>
      <c r="L250" s="75" t="n"/>
      <c r="M250" s="75" t="n"/>
      <c r="N250" s="75" t="n"/>
      <c r="O250" s="75" t="n"/>
      <c r="P250" s="75" t="n"/>
      <c r="Q250" s="75" t="inlineStr">
        <is>
          <t>N</t>
        </is>
      </c>
      <c r="R250" s="75" t="n"/>
      <c r="S250" s="75" t="n"/>
      <c r="T250" s="76" t="n"/>
      <c r="U250" s="75" t="n"/>
      <c r="V250" s="76" t="n"/>
      <c r="Y250" s="153" t="inlineStr">
        <is>
          <t>Global Inv - Mar 2026</t>
        </is>
      </c>
      <c r="Z250" s="153" t="inlineStr">
        <is>
          <t>NA</t>
        </is>
      </c>
      <c r="AA250" s="153" t="inlineStr">
        <is>
          <t>Finance</t>
        </is>
      </c>
      <c r="AB250" s="121">
        <f>VLOOKUP(AA250,CategorySummaryTable[],2,FALSE)</f>
        <v/>
      </c>
    </row>
    <row r="251" ht="72.5" customHeight="1" s="142">
      <c r="B251" s="80" t="inlineStr">
        <is>
          <t>K Drive</t>
        </is>
      </c>
      <c r="C251" s="87" t="inlineStr">
        <is>
          <t>Company main file server</t>
        </is>
      </c>
      <c r="D251" s="87" t="inlineStr">
        <is>
          <t>Active</t>
        </is>
      </c>
      <c r="E251" s="88" t="n"/>
      <c r="F251" s="87" t="n"/>
      <c r="G251" s="88" t="n"/>
      <c r="H251" s="88" t="n"/>
      <c r="I251" s="88" t="n"/>
      <c r="J251" s="88" t="n"/>
      <c r="K251" s="88" t="n"/>
      <c r="L251" s="88" t="n"/>
      <c r="M251" s="88" t="n"/>
      <c r="N251" s="88" t="inlineStr">
        <is>
          <t>Yes</t>
        </is>
      </c>
      <c r="O251" s="88" t="inlineStr">
        <is>
          <t>Kerberos</t>
        </is>
      </c>
      <c r="P251" s="88" t="n"/>
      <c r="Q251" s="88" t="n"/>
      <c r="R251" s="88" t="n"/>
      <c r="S251" s="87" t="inlineStr">
        <is>
          <t>Vincent Lu</t>
        </is>
      </c>
      <c r="T251" s="89" t="n">
        <v>45001</v>
      </c>
      <c r="U251" s="87" t="n"/>
      <c r="V251" s="89" t="n"/>
      <c r="W251" s="71" t="inlineStr">
        <is>
          <t>Kanaka: TW MIR Reports are stored in this drive from where business accesses it. K:\Quality Systems\Corporate Complaints\eMDV_XM</t>
        </is>
      </c>
      <c r="Y251" s="153" t="inlineStr">
        <is>
          <t>Global Inv - Mar 2026</t>
        </is>
      </c>
      <c r="Z251" s="153" t="inlineStr">
        <is>
          <t>NA</t>
        </is>
      </c>
      <c r="AA251" s="153" t="inlineStr">
        <is>
          <t>IT Operations</t>
        </is>
      </c>
      <c r="AB251" s="121">
        <f>VLOOKUP(AA251,CategorySummaryTable[],2,FALSE)</f>
        <v/>
      </c>
    </row>
    <row r="252" ht="96" customHeight="1" s="142">
      <c r="B252" s="58" t="inlineStr">
        <is>
          <t>KALLIK (printing?)</t>
        </is>
      </c>
      <c r="C252" s="75" t="inlineStr">
        <is>
          <t>US software for product labels and marketing promotional material</t>
        </is>
      </c>
      <c r="D252" s="75" t="inlineStr">
        <is>
          <t>Active</t>
        </is>
      </c>
      <c r="E252" s="75" t="inlineStr">
        <is>
          <t>Kallik</t>
        </is>
      </c>
      <c r="F252" s="75" t="n"/>
      <c r="G252" s="75" t="n"/>
      <c r="H252" s="75" t="inlineStr">
        <is>
          <t>Multi-Site</t>
        </is>
      </c>
      <c r="I252" s="75" t="n"/>
      <c r="J252" s="75" t="inlineStr">
        <is>
          <t>Other</t>
        </is>
      </c>
      <c r="K252" s="75" t="inlineStr">
        <is>
          <t>SaaS</t>
        </is>
      </c>
      <c r="L252" s="75" t="n"/>
      <c r="M252" s="75" t="n"/>
      <c r="N252" s="75" t="inlineStr">
        <is>
          <t>No</t>
        </is>
      </c>
      <c r="O252" s="75" t="n"/>
      <c r="P252" s="75" t="inlineStr">
        <is>
          <t>T1 (Kallik printing)</t>
        </is>
      </c>
      <c r="Q252" s="75" t="inlineStr">
        <is>
          <t>Yes</t>
        </is>
      </c>
      <c r="R252" s="75" t="n"/>
      <c r="S252" s="75" t="n"/>
      <c r="T252" s="76" t="n"/>
      <c r="U252" s="75" t="n"/>
      <c r="V252" s="76" t="n"/>
      <c r="W252" s="71" t="inlineStr">
        <is>
          <t>FETQ</t>
        </is>
      </c>
      <c r="Y252" s="153" t="inlineStr">
        <is>
          <t>Global Inv - Mar 2026</t>
        </is>
      </c>
      <c r="Z252" s="153" t="inlineStr">
        <is>
          <t>Product label and artwork management software</t>
        </is>
      </c>
      <c r="AA252" s="153" t="inlineStr">
        <is>
          <t>Regulatory Affairs</t>
        </is>
      </c>
      <c r="AB252" s="121">
        <f>VLOOKUP(AA252,CategorySummaryTable[],2,FALSE)</f>
        <v/>
      </c>
    </row>
    <row r="253" ht="96" customHeight="1" s="142">
      <c r="B253" s="57" t="inlineStr">
        <is>
          <t>Kallik (server?)</t>
        </is>
      </c>
      <c r="C253" s="75" t="inlineStr">
        <is>
          <t>Managed by Kallik.
US311KAL100- (Just the proxy server) Kallik is located on the cloud.
US311KAL001- Used to connect the on-prem printers to Kallik cloud.</t>
        </is>
      </c>
      <c r="D253" s="75" t="inlineStr">
        <is>
          <t>Active</t>
        </is>
      </c>
      <c r="E253" s="75" t="inlineStr">
        <is>
          <t>Kallik</t>
        </is>
      </c>
      <c r="F253" s="75" t="n"/>
      <c r="G253" s="75" t="inlineStr">
        <is>
          <t>Enterprise</t>
        </is>
      </c>
      <c r="H253" s="75" t="n"/>
      <c r="I253" s="75" t="inlineStr">
        <is>
          <t>Yes</t>
        </is>
      </c>
      <c r="J253" s="75" t="n"/>
      <c r="K253" s="75" t="n"/>
      <c r="L253" s="75" t="n"/>
      <c r="M253" s="75" t="n"/>
      <c r="N253" s="75" t="inlineStr">
        <is>
          <t>No</t>
        </is>
      </c>
      <c r="O253" s="75" t="n"/>
      <c r="P253" s="75" t="inlineStr">
        <is>
          <t>T1?</t>
        </is>
      </c>
      <c r="Q253" s="75" t="inlineStr">
        <is>
          <t>Yes</t>
        </is>
      </c>
      <c r="R253" s="75" t="n"/>
      <c r="S253" s="75" t="inlineStr">
        <is>
          <t>Kishor Patel</t>
        </is>
      </c>
      <c r="T253" s="76" t="n">
        <v>44522</v>
      </c>
      <c r="U253" s="75" t="inlineStr">
        <is>
          <t>via Kishor Patel</t>
        </is>
      </c>
      <c r="V253" s="76" t="n">
        <v>44522</v>
      </c>
      <c r="Y253" s="153" t="inlineStr">
        <is>
          <t>Global Inv - Mar 2026</t>
        </is>
      </c>
      <c r="Z253" s="153" t="inlineStr">
        <is>
          <t>Product label and artwork management software</t>
        </is>
      </c>
      <c r="AA253" s="153" t="inlineStr">
        <is>
          <t>Regulatory Affairs</t>
        </is>
      </c>
      <c r="AB253" s="121">
        <f>VLOOKUP(AA253,CategorySummaryTable[],2,FALSE)</f>
        <v/>
      </c>
    </row>
    <row r="254" ht="80" customHeight="1" s="142">
      <c r="B254" s="80" t="inlineStr">
        <is>
          <t>KellerOnLine</t>
        </is>
      </c>
      <c r="C254" s="75" t="inlineStr">
        <is>
          <t>Workplace Health &amp; Safety Management System</t>
        </is>
      </c>
      <c r="D254" s="75" t="inlineStr">
        <is>
          <t>Unknown</t>
        </is>
      </c>
      <c r="E254" s="75" t="inlineStr">
        <is>
          <t>J.J. Keller Online &amp; Associates</t>
        </is>
      </c>
      <c r="F254" s="75" t="n"/>
      <c r="G254" s="75" t="n"/>
      <c r="H254" s="75" t="n"/>
      <c r="I254" s="75" t="n"/>
      <c r="J254" s="75" t="inlineStr">
        <is>
          <t>Other</t>
        </is>
      </c>
      <c r="K254" s="75" t="n"/>
      <c r="L254" s="75" t="n"/>
      <c r="M254" s="75" t="n"/>
      <c r="N254" s="75" t="n"/>
      <c r="O254" s="75" t="n"/>
      <c r="P254" s="75" t="n"/>
      <c r="Q254" s="75" t="n"/>
      <c r="R254" s="75" t="n"/>
      <c r="S254" s="75" t="n"/>
      <c r="T254" s="76" t="n"/>
      <c r="U254" s="75" t="n"/>
      <c r="V254" s="76" t="n"/>
      <c r="Y254" s="153" t="inlineStr">
        <is>
          <t>Global Inv - Mar 2026</t>
        </is>
      </c>
      <c r="Z254" s="153" t="inlineStr">
        <is>
          <t>Workplace health, safety, and compliance management software</t>
        </is>
      </c>
      <c r="AA254" s="153" t="inlineStr">
        <is>
          <t>Compliance and Risk</t>
        </is>
      </c>
      <c r="AB254" s="121">
        <f>VLOOKUP(AA254,CategorySummaryTable[],2,FALSE)</f>
        <v/>
      </c>
    </row>
    <row r="255" ht="64" customHeight="1" s="142">
      <c r="B255" s="80" t="inlineStr">
        <is>
          <t>Keri</t>
        </is>
      </c>
      <c r="C255" s="75" t="inlineStr">
        <is>
          <t>Access control/ integrated seurity system</t>
        </is>
      </c>
      <c r="D255" s="75" t="inlineStr">
        <is>
          <t>Unknown</t>
        </is>
      </c>
      <c r="E255" s="75" t="inlineStr">
        <is>
          <t>Keri Systems</t>
        </is>
      </c>
      <c r="F255" s="75" t="n"/>
      <c r="G255" s="75" t="n"/>
      <c r="H255" s="75" t="n"/>
      <c r="I255" s="75" t="n"/>
      <c r="J255" s="75" t="inlineStr">
        <is>
          <t>Other</t>
        </is>
      </c>
      <c r="K255" s="75" t="n"/>
      <c r="L255" s="75" t="n"/>
      <c r="M255" s="75" t="n"/>
      <c r="N255" s="75" t="n"/>
      <c r="O255" s="75" t="n"/>
      <c r="P255" s="75" t="n"/>
      <c r="Q255" s="75" t="n"/>
      <c r="R255" s="75" t="n"/>
      <c r="S255" s="75" t="n"/>
      <c r="T255" s="76" t="n"/>
      <c r="U255" s="75" t="n"/>
      <c r="V255" s="76" t="n"/>
      <c r="Y255" s="153" t="inlineStr">
        <is>
          <t>Global Inv - Mar 2026</t>
        </is>
      </c>
      <c r="Z255" s="153" t="inlineStr">
        <is>
          <t>Physical access control and security management system</t>
        </is>
      </c>
      <c r="AA255" s="153" t="inlineStr">
        <is>
          <t>IT Operations</t>
        </is>
      </c>
      <c r="AB255" s="121">
        <f>VLOOKUP(AA255,CategorySummaryTable[],2,FALSE)</f>
        <v/>
      </c>
    </row>
    <row r="256" ht="64" customHeight="1" s="142">
      <c r="B256" s="77" t="inlineStr">
        <is>
          <t>KeyScan Security Access</t>
        </is>
      </c>
      <c r="C256" s="75" t="n"/>
      <c r="D256" s="75" t="inlineStr">
        <is>
          <t>Unknown</t>
        </is>
      </c>
      <c r="E256" s="75" t="inlineStr">
        <is>
          <t>KeyScan</t>
        </is>
      </c>
      <c r="F256" s="75" t="n"/>
      <c r="G256" s="75" t="n"/>
      <c r="H256" s="75" t="inlineStr">
        <is>
          <t>Puerto Rico</t>
        </is>
      </c>
      <c r="I256" s="75" t="inlineStr">
        <is>
          <t>Yes</t>
        </is>
      </c>
      <c r="J256" s="75" t="n"/>
      <c r="K256" s="75" t="inlineStr">
        <is>
          <t>On Premises (Client/Server)</t>
        </is>
      </c>
      <c r="L256" s="75" t="n"/>
      <c r="M256" s="75" t="n"/>
      <c r="N256" s="75" t="n"/>
      <c r="O256" s="75" t="n"/>
      <c r="P256" s="75" t="n"/>
      <c r="Q256" s="75" t="inlineStr">
        <is>
          <t>N</t>
        </is>
      </c>
      <c r="R256" s="75" t="n"/>
      <c r="S256" s="75" t="n"/>
      <c r="T256" s="76" t="n"/>
      <c r="U256" s="75" t="n"/>
      <c r="V256" s="76" t="n"/>
      <c r="Y256" s="153" t="inlineStr">
        <is>
          <t>Global Inv - Mar 2026</t>
        </is>
      </c>
      <c r="Z256" s="153" t="inlineStr">
        <is>
          <t>Physical access control and door security software</t>
        </is>
      </c>
      <c r="AA256" s="153" t="inlineStr">
        <is>
          <t>IT Operations</t>
        </is>
      </c>
      <c r="AB256" s="121">
        <f>VLOOKUP(AA256,CategorySummaryTable[],2,FALSE)</f>
        <v/>
      </c>
    </row>
    <row r="257" ht="80" customHeight="1" s="142">
      <c r="B257" s="56" t="inlineStr">
        <is>
          <t>KISS (Kiln Interface &amp; Datalogger Software System)</t>
        </is>
      </c>
      <c r="C257" s="75" t="n"/>
      <c r="D257" s="75" t="inlineStr">
        <is>
          <t>Unknown</t>
        </is>
      </c>
      <c r="E257" s="75" t="inlineStr">
        <is>
          <t>L&amp;L Kiln Mfg Inc</t>
        </is>
      </c>
      <c r="F257" s="75" t="n"/>
      <c r="G257" s="75" t="n"/>
      <c r="H257" s="75" t="inlineStr">
        <is>
          <t>Plainsboro Corp, Plainsboro 105</t>
        </is>
      </c>
      <c r="I257" s="75" t="inlineStr">
        <is>
          <t>Yes</t>
        </is>
      </c>
      <c r="J257" s="75" t="n"/>
      <c r="K257" s="75" t="n"/>
      <c r="L257" s="75" t="n"/>
      <c r="M257" s="75" t="n"/>
      <c r="N257" s="75" t="n"/>
      <c r="O257" s="75" t="n"/>
      <c r="P257" s="75" t="n"/>
      <c r="Q257" s="75" t="inlineStr">
        <is>
          <t>Y</t>
        </is>
      </c>
      <c r="R257" s="75" t="n"/>
      <c r="S257" s="75" t="n"/>
      <c r="T257" s="76" t="n"/>
      <c r="U257" s="75" t="n"/>
      <c r="V257" s="76" t="n"/>
      <c r="Y257" s="153" t="inlineStr">
        <is>
          <t>Global Inv - Mar 2026</t>
        </is>
      </c>
      <c r="Z257" s="153" t="inlineStr">
        <is>
          <t>Kiln control, interface, and datalogging software</t>
        </is>
      </c>
      <c r="AA257" s="153" t="inlineStr">
        <is>
          <t>Manufacturing</t>
        </is>
      </c>
      <c r="AB257" s="121">
        <f>VLOOKUP(AA257,CategorySummaryTable[],2,FALSE)</f>
        <v/>
      </c>
    </row>
    <row r="258" ht="64" customHeight="1" s="142">
      <c r="B258" s="80" t="inlineStr">
        <is>
          <t>KMS / RDS Licensing server</t>
        </is>
      </c>
      <c r="C258" s="75" t="n"/>
      <c r="D258" s="75" t="inlineStr">
        <is>
          <t>Unknown</t>
        </is>
      </c>
      <c r="E258" s="75" t="inlineStr">
        <is>
          <t>Microsoft?</t>
        </is>
      </c>
      <c r="F258" s="75" t="n"/>
      <c r="G258" s="75" t="inlineStr">
        <is>
          <t>Enterprise</t>
        </is>
      </c>
      <c r="H258" s="75" t="n"/>
      <c r="I258" s="75" t="inlineStr">
        <is>
          <t>Yes</t>
        </is>
      </c>
      <c r="J258" s="75" t="n"/>
      <c r="K258" s="75" t="n"/>
      <c r="L258" s="75" t="n"/>
      <c r="M258" s="75" t="n"/>
      <c r="N258" s="75" t="n"/>
      <c r="O258" s="75" t="n"/>
      <c r="P258" s="75" t="n"/>
      <c r="Q258" s="75" t="inlineStr">
        <is>
          <t>No</t>
        </is>
      </c>
      <c r="R258" s="75" t="n"/>
      <c r="S258" s="75" t="n"/>
      <c r="T258" s="76" t="n"/>
      <c r="U258" s="75" t="inlineStr">
        <is>
          <t>server?</t>
        </is>
      </c>
      <c r="V258" s="76" t="n"/>
      <c r="Y258" s="153" t="inlineStr">
        <is>
          <t>Global Inv - Mar 2026</t>
        </is>
      </c>
      <c r="Z258" s="153" t="inlineStr">
        <is>
          <t>Microsoft volume/remote-desktop licensing server software</t>
        </is>
      </c>
      <c r="AA258" s="153" t="inlineStr">
        <is>
          <t>IT Operations</t>
        </is>
      </c>
      <c r="AB258" s="121">
        <f>VLOOKUP(AA258,CategorySummaryTable[],2,FALSE)</f>
        <v/>
      </c>
    </row>
    <row r="259" ht="64" customHeight="1" s="142">
      <c r="B259" s="80" t="inlineStr">
        <is>
          <t>Kodak Scan Validation</t>
        </is>
      </c>
      <c r="C259" s="75" t="inlineStr">
        <is>
          <t>Scan Validation Tool allows you to verify scanner functionality using both the TWAIN Datasource and the ISIS Driver</t>
        </is>
      </c>
      <c r="D259" s="75" t="inlineStr">
        <is>
          <t>Unknown</t>
        </is>
      </c>
      <c r="E259" s="75" t="inlineStr">
        <is>
          <t>Alaris World</t>
        </is>
      </c>
      <c r="F259" s="75" t="n"/>
      <c r="G259" s="75" t="n"/>
      <c r="H259" s="75" t="n"/>
      <c r="I259" s="75" t="n"/>
      <c r="J259" s="75" t="inlineStr">
        <is>
          <t>Other</t>
        </is>
      </c>
      <c r="K259" s="75" t="n"/>
      <c r="L259" s="75" t="n"/>
      <c r="M259" s="75" t="n"/>
      <c r="N259" s="75" t="n"/>
      <c r="O259" s="75" t="n"/>
      <c r="P259" s="75" t="n"/>
      <c r="Q259" s="75" t="n"/>
      <c r="R259" s="75" t="n"/>
      <c r="S259" s="75" t="n"/>
      <c r="T259" s="76" t="n"/>
      <c r="U259" s="75" t="n"/>
      <c r="V259" s="76" t="n"/>
      <c r="Y259" s="153" t="inlineStr">
        <is>
          <t>Global Inv - Mar 2026</t>
        </is>
      </c>
      <c r="Z259" s="153" t="inlineStr">
        <is>
          <t>Document scanner validation/diagnostic utility</t>
        </is>
      </c>
      <c r="AA259" s="153" t="inlineStr">
        <is>
          <t>IT Operations</t>
        </is>
      </c>
      <c r="AB259" s="121">
        <f>VLOOKUP(AA259,CategorySummaryTable[],2,FALSE)</f>
        <v/>
      </c>
    </row>
    <row r="260" ht="80" customHeight="1" s="142">
      <c r="B260" s="77" t="inlineStr">
        <is>
          <t>Lab QA Worksheet</t>
        </is>
      </c>
      <c r="C260" s="75" t="n"/>
      <c r="D260" s="75" t="inlineStr">
        <is>
          <t>Unknown</t>
        </is>
      </c>
      <c r="E260" s="75" t="n"/>
      <c r="F260" s="75" t="n"/>
      <c r="G260" s="75" t="n"/>
      <c r="H260" s="75" t="inlineStr">
        <is>
          <t>Puerto Rico</t>
        </is>
      </c>
      <c r="I260" s="75" t="inlineStr">
        <is>
          <t>Yes</t>
        </is>
      </c>
      <c r="J260" s="75" t="n"/>
      <c r="K260" s="75" t="n"/>
      <c r="L260" s="75" t="n"/>
      <c r="M260" s="75" t="n"/>
      <c r="N260" s="75" t="n"/>
      <c r="O260" s="75" t="n"/>
      <c r="P260" s="75" t="n"/>
      <c r="Q260" s="75" t="inlineStr">
        <is>
          <t>Y</t>
        </is>
      </c>
      <c r="R260" s="75" t="n"/>
      <c r="S260" s="75" t="n"/>
      <c r="T260" s="76" t="n"/>
      <c r="U260" s="75" t="n"/>
      <c r="V260" s="76" t="n"/>
      <c r="Y260" s="153" t="inlineStr">
        <is>
          <t>Global Inv - Mar 2026</t>
        </is>
      </c>
      <c r="Z260" s="153" t="inlineStr">
        <is>
          <t>NA</t>
        </is>
      </c>
      <c r="AA260" s="153" t="inlineStr">
        <is>
          <t>Quality and Validation</t>
        </is>
      </c>
      <c r="AB260" s="121">
        <f>VLOOKUP(AA260,CategorySummaryTable[],2,FALSE)</f>
        <v/>
      </c>
    </row>
    <row r="261" ht="80" customHeight="1" s="142">
      <c r="B261" s="77" t="inlineStr">
        <is>
          <t>LabEdit</t>
        </is>
      </c>
      <c r="C261" s="75" t="n"/>
      <c r="D261" s="75" t="inlineStr">
        <is>
          <t>Unknown</t>
        </is>
      </c>
      <c r="E261" s="75" t="n"/>
      <c r="F261" s="75" t="n"/>
      <c r="G261" s="75" t="n"/>
      <c r="H261" s="75" t="inlineStr">
        <is>
          <t>Biot</t>
        </is>
      </c>
      <c r="I261" s="75" t="inlineStr">
        <is>
          <t>Yes</t>
        </is>
      </c>
      <c r="J261" s="75" t="n"/>
      <c r="K261" s="75" t="n"/>
      <c r="L261" s="75" t="n"/>
      <c r="M261" s="75" t="n"/>
      <c r="N261" s="75" t="n"/>
      <c r="O261" s="75" t="n"/>
      <c r="P261" s="75" t="n"/>
      <c r="Q261" s="75" t="n"/>
      <c r="R261" s="75" t="n"/>
      <c r="S261" s="75" t="n"/>
      <c r="T261" s="76" t="n"/>
      <c r="U261" s="75" t="n"/>
      <c r="V261" s="76" t="n"/>
      <c r="Y261" s="153" t="inlineStr">
        <is>
          <t>Global Inv - Mar 2026</t>
        </is>
      </c>
      <c r="Z261" s="153" t="inlineStr">
        <is>
          <t>NA</t>
        </is>
      </c>
      <c r="AA261" s="153" t="inlineStr">
        <is>
          <t>Quality and Validation</t>
        </is>
      </c>
      <c r="AB261" s="121">
        <f>VLOOKUP(AA261,CategorySummaryTable[],2,FALSE)</f>
        <v/>
      </c>
    </row>
    <row r="262" ht="80" customHeight="1" s="142">
      <c r="B262" s="77" t="inlineStr">
        <is>
          <t>Label Gallery</t>
        </is>
      </c>
      <c r="C262" s="75" t="n"/>
      <c r="D262" s="75" t="inlineStr">
        <is>
          <t>Unknown</t>
        </is>
      </c>
      <c r="E262" s="75" t="inlineStr">
        <is>
          <t>Sato international PTE. LTD.</t>
        </is>
      </c>
      <c r="F262" s="75" t="n"/>
      <c r="G262" s="75" t="n"/>
      <c r="H262" s="75" t="inlineStr">
        <is>
          <t>Zapopan, MX</t>
        </is>
      </c>
      <c r="I262" s="75" t="inlineStr">
        <is>
          <t>Yes</t>
        </is>
      </c>
      <c r="J262" s="75" t="n"/>
      <c r="K262" s="75" t="inlineStr">
        <is>
          <t>Desktop</t>
        </is>
      </c>
      <c r="L262" s="75" t="n"/>
      <c r="M262" s="75" t="n"/>
      <c r="N262" s="75" t="n"/>
      <c r="O262" s="75" t="n"/>
      <c r="P262" s="75" t="n"/>
      <c r="Q262" s="75" t="inlineStr">
        <is>
          <t>N</t>
        </is>
      </c>
      <c r="R262" s="75" t="n"/>
      <c r="S262" s="75" t="n"/>
      <c r="T262" s="76" t="n"/>
      <c r="U262" s="75" t="n"/>
      <c r="V262" s="76" t="n"/>
      <c r="Y262" s="153" t="inlineStr">
        <is>
          <t>Global Inv - Mar 2026</t>
        </is>
      </c>
      <c r="Z262" s="153" t="inlineStr">
        <is>
          <t>Barcode label design and printing software</t>
        </is>
      </c>
      <c r="AA262" s="153" t="inlineStr">
        <is>
          <t>Manufacturing</t>
        </is>
      </c>
      <c r="AB262" s="121">
        <f>VLOOKUP(AA262,CategorySummaryTable[],2,FALSE)</f>
        <v/>
      </c>
    </row>
    <row r="263" ht="64" customHeight="1" s="142">
      <c r="B263" s="80" t="inlineStr">
        <is>
          <t>LabTech</t>
        </is>
      </c>
      <c r="C263" s="75" t="inlineStr">
        <is>
          <t>Managed Service tool for remote monitoring, management, and automation in a lab</t>
        </is>
      </c>
      <c r="D263" s="75" t="inlineStr">
        <is>
          <t>Unknown</t>
        </is>
      </c>
      <c r="E263" s="75" t="inlineStr">
        <is>
          <t>LabTech Software</t>
        </is>
      </c>
      <c r="F263" s="75" t="n"/>
      <c r="G263" s="75" t="n"/>
      <c r="H263" s="75" t="n"/>
      <c r="I263" s="75" t="inlineStr">
        <is>
          <t>Yes</t>
        </is>
      </c>
      <c r="J263" s="75" t="n"/>
      <c r="K263" s="75" t="n"/>
      <c r="L263" s="75" t="n"/>
      <c r="M263" s="75" t="n"/>
      <c r="N263" s="75" t="n"/>
      <c r="O263" s="75" t="n"/>
      <c r="P263" s="75" t="n"/>
      <c r="Q263" s="75" t="n"/>
      <c r="R263" s="75" t="n"/>
      <c r="S263" s="75" t="n"/>
      <c r="T263" s="76" t="n"/>
      <c r="U263" s="75" t="n"/>
      <c r="V263" s="76" t="n"/>
      <c r="Y263" s="153" t="inlineStr">
        <is>
          <t>Global Inv - Mar 2026</t>
        </is>
      </c>
      <c r="Z263" s="153" t="inlineStr">
        <is>
          <t>Remote monitoring and management (RMM) software</t>
        </is>
      </c>
      <c r="AA263" s="153" t="inlineStr">
        <is>
          <t>IT Operations</t>
        </is>
      </c>
      <c r="AB263" s="121">
        <f>VLOOKUP(AA263,CategorySummaryTable[],2,FALSE)</f>
        <v/>
      </c>
    </row>
    <row r="264" ht="64" customHeight="1" s="142">
      <c r="B264" s="77" t="inlineStr">
        <is>
          <t>LabView</t>
        </is>
      </c>
      <c r="C264" s="75" t="n"/>
      <c r="D264" s="75" t="inlineStr">
        <is>
          <t>Unknown</t>
        </is>
      </c>
      <c r="E264" s="75" t="inlineStr">
        <is>
          <t>National Instruments</t>
        </is>
      </c>
      <c r="F264" s="75" t="n"/>
      <c r="G264" s="75" t="n"/>
      <c r="H264" s="75" t="inlineStr">
        <is>
          <t>Billerica</t>
        </is>
      </c>
      <c r="I264" s="75" t="inlineStr">
        <is>
          <t>Yes</t>
        </is>
      </c>
      <c r="J264" s="75" t="n"/>
      <c r="K264" s="75" t="inlineStr">
        <is>
          <t>Desktop</t>
        </is>
      </c>
      <c r="L264" s="75" t="n"/>
      <c r="M264" s="75" t="n"/>
      <c r="N264" s="75" t="n"/>
      <c r="O264" s="75" t="n"/>
      <c r="P264" s="75" t="n"/>
      <c r="Q264" s="75" t="inlineStr">
        <is>
          <t>N</t>
        </is>
      </c>
      <c r="R264" s="75" t="n"/>
      <c r="S264" s="75" t="n"/>
      <c r="T264" s="76" t="n"/>
      <c r="U264" s="75" t="n"/>
      <c r="V264" s="76" t="n"/>
      <c r="Y264" s="153" t="inlineStr">
        <is>
          <t>Global Inv - Mar 2026</t>
        </is>
      </c>
      <c r="Z264" s="153" t="inlineStr">
        <is>
          <t>Graphical programming and data acquisition/instrumentation software</t>
        </is>
      </c>
      <c r="AA264" s="153" t="inlineStr">
        <is>
          <t>Engineering</t>
        </is>
      </c>
      <c r="AB264" s="121">
        <f>VLOOKUP(AA264,CategorySummaryTable[],2,FALSE)</f>
        <v/>
      </c>
    </row>
    <row r="265" ht="64" customHeight="1" s="142">
      <c r="B265" s="80" t="inlineStr">
        <is>
          <t>LanSweeper</t>
        </is>
      </c>
      <c r="C265" s="75" t="inlineStr">
        <is>
          <t>Asset Management</t>
        </is>
      </c>
      <c r="D265" s="75" t="inlineStr">
        <is>
          <t>Unknown</t>
        </is>
      </c>
      <c r="E265" s="75" t="inlineStr">
        <is>
          <t>LanSweeper</t>
        </is>
      </c>
      <c r="F265" s="75" t="n"/>
      <c r="G265" s="75" t="inlineStr">
        <is>
          <t>Enterprise</t>
        </is>
      </c>
      <c r="H265" s="75" t="n"/>
      <c r="I265" s="75" t="inlineStr">
        <is>
          <t>Yes</t>
        </is>
      </c>
      <c r="J265" s="75" t="n"/>
      <c r="K265" s="75" t="inlineStr">
        <is>
          <t>On Premises (Client/Server)</t>
        </is>
      </c>
      <c r="L265" s="75" t="n"/>
      <c r="M265" s="75" t="n"/>
      <c r="N265" s="75" t="n"/>
      <c r="O265" s="75" t="n"/>
      <c r="P265" s="75" t="n"/>
      <c r="Q265" s="75" t="inlineStr">
        <is>
          <t>No</t>
        </is>
      </c>
      <c r="R265" s="75" t="n"/>
      <c r="S265" s="75" t="n"/>
      <c r="T265" s="76" t="n"/>
      <c r="U265" s="75" t="n"/>
      <c r="V265" s="76" t="n"/>
      <c r="Y265" s="153" t="inlineStr">
        <is>
          <t>Global Inv - Mar 2026</t>
        </is>
      </c>
      <c r="Z265" s="153" t="inlineStr">
        <is>
          <t>IT asset discovery and inventory management software</t>
        </is>
      </c>
      <c r="AA265" s="153" t="inlineStr">
        <is>
          <t>IT Operations</t>
        </is>
      </c>
      <c r="AB265" s="121">
        <f>VLOOKUP(AA265,CategorySummaryTable[],2,FALSE)</f>
        <v/>
      </c>
    </row>
    <row r="266" ht="80" customHeight="1" s="142">
      <c r="B266" s="80" t="inlineStr">
        <is>
          <t>Law Track</t>
        </is>
      </c>
      <c r="C266" s="75" t="inlineStr">
        <is>
          <t>Records management and court system (?) http://www.lawtrak.com/</t>
        </is>
      </c>
      <c r="D266" s="75" t="inlineStr">
        <is>
          <t>Decommissioned</t>
        </is>
      </c>
      <c r="E266" s="75" t="inlineStr">
        <is>
          <t>Nicholson Business Systems</t>
        </is>
      </c>
      <c r="F266" s="75" t="n"/>
      <c r="G266" s="75" t="n"/>
      <c r="H266" s="75" t="n"/>
      <c r="I266" s="75" t="n"/>
      <c r="J266" s="75" t="inlineStr">
        <is>
          <t>Other</t>
        </is>
      </c>
      <c r="K266" s="75" t="n"/>
      <c r="L266" s="75" t="n"/>
      <c r="M266" s="75" t="n"/>
      <c r="N266" s="75" t="n"/>
      <c r="O266" s="75" t="n"/>
      <c r="P266" s="75" t="n"/>
      <c r="Q266" s="75" t="n"/>
      <c r="R266" s="75" t="n"/>
      <c r="S266" s="75" t="n"/>
      <c r="T266" s="76" t="n"/>
      <c r="U266" s="75" t="n"/>
      <c r="V266" s="76" t="n"/>
      <c r="W266" s="71" t="inlineStr">
        <is>
          <t>System decommissioned in May 2025 (move to Agiloft). Data copied on SQL server.</t>
        </is>
      </c>
      <c r="Y266" s="153" t="inlineStr">
        <is>
          <t>Global Inv - Mar 2026</t>
        </is>
      </c>
      <c r="Z266" s="153" t="inlineStr">
        <is>
          <t>Legal matter and records management software</t>
        </is>
      </c>
      <c r="AA266" s="153" t="inlineStr">
        <is>
          <t>Compliance and Risk</t>
        </is>
      </c>
      <c r="AB266" s="121">
        <f>VLOOKUP(AA266,CategorySummaryTable[],2,FALSE)</f>
        <v/>
      </c>
    </row>
    <row r="267" ht="80" customHeight="1" s="142">
      <c r="B267" s="82" t="inlineStr">
        <is>
          <t>LawTrac</t>
        </is>
      </c>
      <c r="C267" s="75" t="inlineStr">
        <is>
          <t>LawTrac is hosted by Mitratech. The Integra database is currently: 1487.38 MB; The application file are currently: 346 MB; The Briefs directory (Documents) are currently: 127 GB</t>
        </is>
      </c>
      <c r="D267" s="75" t="inlineStr">
        <is>
          <t>Decommissioned</t>
        </is>
      </c>
      <c r="E267" s="75" t="inlineStr">
        <is>
          <t>Mitratech</t>
        </is>
      </c>
      <c r="F267" s="75" t="n"/>
      <c r="G267" s="75" t="n"/>
      <c r="H267" s="75" t="inlineStr">
        <is>
          <t>Multi-Site</t>
        </is>
      </c>
      <c r="I267" s="75" t="n"/>
      <c r="J267" s="75" t="inlineStr">
        <is>
          <t>Other</t>
        </is>
      </c>
      <c r="K267" s="75" t="inlineStr">
        <is>
          <t>SaaS</t>
        </is>
      </c>
      <c r="L267" s="75" t="n"/>
      <c r="M267" s="75" t="n"/>
      <c r="N267" s="75" t="n"/>
      <c r="O267" s="75" t="n"/>
      <c r="P267" s="75" t="n"/>
      <c r="Q267" s="75" t="inlineStr">
        <is>
          <t>No</t>
        </is>
      </c>
      <c r="R267" s="75" t="n"/>
      <c r="S267" s="75" t="n"/>
      <c r="T267" s="76" t="n"/>
      <c r="U267" s="75" t="n"/>
      <c r="V267" s="76" t="n"/>
      <c r="W267" s="71" t="inlineStr">
        <is>
          <t>System decommissioned in May 2025 (move to Agiloft). Data copied on SQL server.</t>
        </is>
      </c>
      <c r="Y267" s="153" t="inlineStr">
        <is>
          <t>Global Inv - Mar 2026</t>
        </is>
      </c>
      <c r="Z267" s="153" t="inlineStr">
        <is>
          <t>Legal matter management (e-billing/matter tracking) software</t>
        </is>
      </c>
      <c r="AA267" s="153" t="inlineStr">
        <is>
          <t>Compliance and Risk</t>
        </is>
      </c>
      <c r="AB267" s="121">
        <f>VLOOKUP(AA267,CategorySummaryTable[],2,FALSE)</f>
        <v/>
      </c>
    </row>
    <row r="268" ht="80" customHeight="1" s="142">
      <c r="B268" s="77" t="inlineStr">
        <is>
          <t>Leak tester (2)</t>
        </is>
      </c>
      <c r="C268" s="75" t="n"/>
      <c r="D268" s="75" t="inlineStr">
        <is>
          <t>Unknown</t>
        </is>
      </c>
      <c r="E268" s="75" t="n"/>
      <c r="F268" s="75" t="n"/>
      <c r="G268" s="75" t="n"/>
      <c r="H268" s="75" t="inlineStr">
        <is>
          <t>Puerto Rico</t>
        </is>
      </c>
      <c r="I268" s="75" t="inlineStr">
        <is>
          <t>Yes</t>
        </is>
      </c>
      <c r="J268" s="75" t="n"/>
      <c r="K268" s="75" t="n"/>
      <c r="L268" s="75" t="n"/>
      <c r="M268" s="75" t="n"/>
      <c r="N268" s="75" t="n"/>
      <c r="O268" s="75" t="n"/>
      <c r="P268" s="75" t="n"/>
      <c r="Q268" s="75" t="inlineStr">
        <is>
          <t>Y</t>
        </is>
      </c>
      <c r="R268" s="75" t="n"/>
      <c r="S268" s="75" t="n"/>
      <c r="T268" s="76" t="n"/>
      <c r="U268" s="75" t="n"/>
      <c r="V268" s="76" t="n"/>
      <c r="Y268" s="153" t="inlineStr">
        <is>
          <t>Global Inv - Mar 2026</t>
        </is>
      </c>
      <c r="Z268" s="153" t="inlineStr">
        <is>
          <t>NA</t>
        </is>
      </c>
      <c r="AA268" s="153" t="inlineStr">
        <is>
          <t>Quality and Validation</t>
        </is>
      </c>
      <c r="AB268" s="121">
        <f>VLOOKUP(AA268,CategorySummaryTable[],2,FALSE)</f>
        <v/>
      </c>
    </row>
    <row r="269" ht="80" customHeight="1" s="142">
      <c r="B269" s="82" t="inlineStr">
        <is>
          <t>Legal intellectual property management hosted by CPA Global</t>
        </is>
      </c>
      <c r="C269" s="75" t="inlineStr">
        <is>
          <t>It is a cloud-based application hosted by the external vendor CPA Global. Legal uses two software applications for intellectual property management hosted by CPA Global, FoundationIP IP management software and First-To-File file management software. The size of documents within First-To-File file management software:Patents - ~41,000 total documents, 17.0 GB;	Trademarks - ~9,000 total documents, 7.0 GB; Other Matters - ~1,000 total documents, 1.1 GB</t>
        </is>
      </c>
      <c r="D269" s="75" t="inlineStr">
        <is>
          <t>Unknown</t>
        </is>
      </c>
      <c r="E269" s="75" t="inlineStr">
        <is>
          <t>CPA Global</t>
        </is>
      </c>
      <c r="F269" s="75" t="n"/>
      <c r="G269" s="75" t="n"/>
      <c r="H269" s="75" t="inlineStr">
        <is>
          <t>Plainsboro Corp</t>
        </is>
      </c>
      <c r="I269" s="75" t="n"/>
      <c r="J269" s="75" t="inlineStr">
        <is>
          <t>Other</t>
        </is>
      </c>
      <c r="K269" s="75" t="inlineStr">
        <is>
          <t>On Premises (Client/Server)</t>
        </is>
      </c>
      <c r="L269" s="75" t="n"/>
      <c r="M269" s="75" t="n"/>
      <c r="N269" s="75" t="n"/>
      <c r="O269" s="75" t="n"/>
      <c r="P269" s="75" t="n"/>
      <c r="Q269" s="75" t="inlineStr">
        <is>
          <t>No</t>
        </is>
      </c>
      <c r="R269" s="75" t="n"/>
      <c r="S269" s="75" t="n"/>
      <c r="T269" s="76" t="n"/>
      <c r="U269" s="75" t="n"/>
      <c r="V269" s="76" t="n"/>
      <c r="Y269" s="153" t="inlineStr">
        <is>
          <t>Global Inv - Mar 2026</t>
        </is>
      </c>
      <c r="Z269" s="153" t="inlineStr">
        <is>
          <t>Intellectual property (patent/trademark) management software</t>
        </is>
      </c>
      <c r="AA269" s="153" t="inlineStr">
        <is>
          <t>Compliance and Risk</t>
        </is>
      </c>
      <c r="AB269" s="121">
        <f>VLOOKUP(AA269,CategorySummaryTable[],2,FALSE)</f>
        <v/>
      </c>
    </row>
    <row r="270" ht="80" customHeight="1" s="142">
      <c r="B270" s="80" t="inlineStr">
        <is>
          <t>Legal Patent/ IPMaster</t>
        </is>
      </c>
      <c r="C270" s="75" t="n"/>
      <c r="D270" s="75" t="inlineStr">
        <is>
          <t>Unknown</t>
        </is>
      </c>
      <c r="E270" s="75" t="n"/>
      <c r="F270" s="75" t="n"/>
      <c r="G270" s="75" t="n"/>
      <c r="H270" s="75" t="n"/>
      <c r="I270" s="75" t="n"/>
      <c r="J270" s="75" t="inlineStr">
        <is>
          <t>Other</t>
        </is>
      </c>
      <c r="K270" s="75" t="n"/>
      <c r="L270" s="75" t="n"/>
      <c r="M270" s="75" t="n"/>
      <c r="N270" s="75" t="n"/>
      <c r="O270" s="75" t="n"/>
      <c r="P270" s="75" t="n"/>
      <c r="Q270" s="75" t="n"/>
      <c r="R270" s="75" t="n"/>
      <c r="S270" s="75" t="n"/>
      <c r="T270" s="76" t="n"/>
      <c r="U270" s="75" t="n"/>
      <c r="V270" s="76" t="n"/>
      <c r="Y270" s="153" t="inlineStr">
        <is>
          <t>Global Inv - Mar 2026</t>
        </is>
      </c>
      <c r="Z270" s="153" t="inlineStr">
        <is>
          <t>NA</t>
        </is>
      </c>
      <c r="AA270" s="153" t="inlineStr">
        <is>
          <t>Compliance and Risk</t>
        </is>
      </c>
      <c r="AB270" s="121">
        <f>VLOOKUP(AA270,CategorySummaryTable[],2,FALSE)</f>
        <v/>
      </c>
    </row>
    <row r="271" ht="80" customHeight="1" s="142">
      <c r="B271" s="77" t="inlineStr">
        <is>
          <t>LEGITRONIC LABEL SOFTWARE- WEBBER</t>
        </is>
      </c>
      <c r="C271" s="75" t="n"/>
      <c r="D271" s="75" t="inlineStr">
        <is>
          <t>Unknown</t>
        </is>
      </c>
      <c r="E271" s="75" t="n"/>
      <c r="F271" s="75" t="n"/>
      <c r="G271" s="75" t="n"/>
      <c r="H271" s="75" t="inlineStr">
        <is>
          <t>Plainsboro 105</t>
        </is>
      </c>
      <c r="I271" s="75" t="inlineStr">
        <is>
          <t>Yes</t>
        </is>
      </c>
      <c r="J271" s="75" t="n"/>
      <c r="K271" s="75" t="n"/>
      <c r="L271" s="75" t="n"/>
      <c r="M271" s="75" t="n"/>
      <c r="N271" s="75" t="n"/>
      <c r="O271" s="75" t="n"/>
      <c r="P271" s="75" t="n"/>
      <c r="Q271" s="75" t="inlineStr">
        <is>
          <t>Y</t>
        </is>
      </c>
      <c r="R271" s="75" t="n"/>
      <c r="S271" s="75" t="n"/>
      <c r="T271" s="76" t="n"/>
      <c r="U271" s="75" t="n"/>
      <c r="V271" s="76" t="n"/>
      <c r="Y271" s="153" t="inlineStr">
        <is>
          <t>Global Inv - Mar 2026</t>
        </is>
      </c>
      <c r="Z271" s="153" t="inlineStr">
        <is>
          <t>Barcode label design and printing software</t>
        </is>
      </c>
      <c r="AA271" s="153" t="inlineStr">
        <is>
          <t>Manufacturing</t>
        </is>
      </c>
      <c r="AB271" s="121">
        <f>VLOOKUP(AA271,CategorySummaryTable[],2,FALSE)</f>
        <v/>
      </c>
    </row>
    <row r="272" ht="80" customHeight="1" s="142">
      <c r="B272" s="77" t="inlineStr">
        <is>
          <t>Lexware Personal Premium</t>
        </is>
      </c>
      <c r="C272" s="75" t="n"/>
      <c r="D272" s="75" t="inlineStr">
        <is>
          <t>Pending Survey</t>
        </is>
      </c>
      <c r="E272" s="75" t="n"/>
      <c r="F272" s="75" t="n"/>
      <c r="G272" s="75" t="n"/>
      <c r="H272" s="75" t="inlineStr">
        <is>
          <t>Ratingen</t>
        </is>
      </c>
      <c r="I272" s="75" t="n"/>
      <c r="J272" s="75" t="n"/>
      <c r="K272" s="75" t="n"/>
      <c r="L272" s="75" t="n"/>
      <c r="M272" s="75" t="n"/>
      <c r="N272" s="75" t="n"/>
      <c r="O272" s="75" t="n"/>
      <c r="P272" s="75" t="n"/>
      <c r="Q272" s="75" t="inlineStr">
        <is>
          <t>N</t>
        </is>
      </c>
      <c r="R272" s="75" t="n"/>
      <c r="S272" s="75" t="n"/>
      <c r="T272" s="76" t="n"/>
      <c r="U272" s="75" t="n"/>
      <c r="V272" s="76" t="n"/>
      <c r="Y272" s="153" t="inlineStr">
        <is>
          <t>Global Inv - Mar 2026</t>
        </is>
      </c>
      <c r="Z272" s="153" t="inlineStr">
        <is>
          <t>Personal finance/tax management software (German)</t>
        </is>
      </c>
      <c r="AA272" s="153" t="inlineStr">
        <is>
          <t>Finance</t>
        </is>
      </c>
      <c r="AB272" s="121">
        <f>VLOOKUP(AA272,CategorySummaryTable[],2,FALSE)</f>
        <v/>
      </c>
    </row>
    <row r="273" ht="80" customHeight="1" s="142">
      <c r="B273" s="77" t="inlineStr">
        <is>
          <t>Lexware Reisekosten</t>
        </is>
      </c>
      <c r="C273" s="75" t="n"/>
      <c r="D273" s="75" t="inlineStr">
        <is>
          <t>Pending Survey</t>
        </is>
      </c>
      <c r="E273" s="75" t="n"/>
      <c r="F273" s="75" t="n"/>
      <c r="G273" s="75" t="n"/>
      <c r="H273" s="75" t="inlineStr">
        <is>
          <t>Ratingen</t>
        </is>
      </c>
      <c r="I273" s="75" t="n"/>
      <c r="J273" s="75" t="n"/>
      <c r="K273" s="75" t="n"/>
      <c r="L273" s="75" t="n"/>
      <c r="M273" s="75" t="n"/>
      <c r="N273" s="75" t="n"/>
      <c r="O273" s="75" t="n"/>
      <c r="P273" s="75" t="n"/>
      <c r="Q273" s="75" t="inlineStr">
        <is>
          <t>N</t>
        </is>
      </c>
      <c r="R273" s="75" t="n"/>
      <c r="S273" s="75" t="n"/>
      <c r="T273" s="76" t="n"/>
      <c r="U273" s="75" t="n"/>
      <c r="V273" s="76" t="n"/>
      <c r="Y273" s="153" t="inlineStr">
        <is>
          <t>Global Inv - Mar 2026</t>
        </is>
      </c>
      <c r="Z273" s="153" t="inlineStr">
        <is>
          <t>Travel expense accounting software (German)</t>
        </is>
      </c>
      <c r="AA273" s="153" t="inlineStr">
        <is>
          <t>Finance</t>
        </is>
      </c>
      <c r="AB273" s="121">
        <f>VLOOKUP(AA273,CategorySummaryTable[],2,FALSE)</f>
        <v/>
      </c>
    </row>
    <row r="274" ht="64" customHeight="1" s="142">
      <c r="B274" s="80" t="inlineStr">
        <is>
          <t>Liaison Delta &amp; ECS</t>
        </is>
      </c>
      <c r="C274" s="75" t="inlineStr">
        <is>
          <t>business operations integration</t>
        </is>
      </c>
      <c r="D274" s="75" t="inlineStr">
        <is>
          <t>Unknown</t>
        </is>
      </c>
      <c r="E274" s="75" t="inlineStr">
        <is>
          <t>Liaison</t>
        </is>
      </c>
      <c r="F274" s="75" t="n"/>
      <c r="G274" s="75" t="n"/>
      <c r="H274" s="75" t="n"/>
      <c r="I274" s="75" t="n"/>
      <c r="J274" s="75" t="inlineStr">
        <is>
          <t>Other</t>
        </is>
      </c>
      <c r="K274" s="75" t="n"/>
      <c r="L274" s="75" t="n"/>
      <c r="M274" s="75" t="n"/>
      <c r="N274" s="75" t="n"/>
      <c r="O274" s="75" t="n"/>
      <c r="P274" s="75" t="n"/>
      <c r="Q274" s="75" t="n"/>
      <c r="R274" s="75" t="n"/>
      <c r="S274" s="75" t="n"/>
      <c r="T274" s="76" t="n"/>
      <c r="U274" s="75" t="n"/>
      <c r="V274" s="76" t="n"/>
      <c r="Y274" s="153" t="inlineStr">
        <is>
          <t>Global Inv - Mar 2026</t>
        </is>
      </c>
      <c r="Z274" s="153" t="inlineStr">
        <is>
          <t>EDI/data integration and translation middleware</t>
        </is>
      </c>
      <c r="AA274" s="153" t="inlineStr">
        <is>
          <t>IT Operations</t>
        </is>
      </c>
      <c r="AB274" s="121">
        <f>VLOOKUP(AA274,CategorySummaryTable[],2,FALSE)</f>
        <v/>
      </c>
    </row>
    <row r="275" ht="80" customHeight="1" s="142">
      <c r="B275" s="80" t="inlineStr">
        <is>
          <t>LIMS</t>
        </is>
      </c>
      <c r="C275" s="75" t="inlineStr">
        <is>
          <t>Labratory Information Management System</t>
        </is>
      </c>
      <c r="D275" s="75" t="inlineStr">
        <is>
          <t>Unknown</t>
        </is>
      </c>
      <c r="E275" s="75" t="n"/>
      <c r="F275" s="75" t="n"/>
      <c r="G275" s="75" t="n"/>
      <c r="H275" s="75" t="n"/>
      <c r="I275" s="75" t="n"/>
      <c r="J275" s="75" t="inlineStr">
        <is>
          <t>Other</t>
        </is>
      </c>
      <c r="K275" s="75" t="n"/>
      <c r="L275" s="75" t="n"/>
      <c r="M275" s="75" t="n"/>
      <c r="N275" s="75" t="n"/>
      <c r="O275" s="75" t="n"/>
      <c r="P275" s="75" t="n"/>
      <c r="Q275" s="75" t="n"/>
      <c r="R275" s="75" t="n"/>
      <c r="S275" s="75" t="n"/>
      <c r="T275" s="76" t="n"/>
      <c r="U275" s="75" t="n"/>
      <c r="V275" s="76" t="n"/>
      <c r="Y275" s="153" t="inlineStr">
        <is>
          <t>Global Inv - Mar 2026</t>
        </is>
      </c>
      <c r="Z275" s="153" t="inlineStr">
        <is>
          <t>Laboratory information management system (LIMS)</t>
        </is>
      </c>
      <c r="AA275" s="153" t="inlineStr">
        <is>
          <t>Clinical Manufacturing Process</t>
        </is>
      </c>
      <c r="AB275" s="121">
        <f>VLOOKUP(AA275,CategorySummaryTable[],2,FALSE)</f>
        <v/>
      </c>
    </row>
    <row r="276" ht="64" customHeight="1" s="142">
      <c r="B276" s="80" t="inlineStr">
        <is>
          <t>Lockbox Disk Encryption</t>
        </is>
      </c>
      <c r="C276" s="75" t="n"/>
      <c r="D276" s="75" t="inlineStr">
        <is>
          <t>Unknown</t>
        </is>
      </c>
      <c r="E276" s="75" t="n"/>
      <c r="F276" s="75" t="n"/>
      <c r="G276" s="75" t="n"/>
      <c r="H276" s="75" t="n"/>
      <c r="I276" s="75" t="n"/>
      <c r="J276" s="75" t="inlineStr">
        <is>
          <t>Other</t>
        </is>
      </c>
      <c r="K276" s="75" t="n"/>
      <c r="L276" s="75" t="n"/>
      <c r="M276" s="75" t="n"/>
      <c r="N276" s="75" t="n"/>
      <c r="O276" s="75" t="n"/>
      <c r="P276" s="75" t="n"/>
      <c r="Q276" s="75" t="n"/>
      <c r="R276" s="75" t="n"/>
      <c r="S276" s="75" t="n"/>
      <c r="T276" s="76" t="n"/>
      <c r="U276" s="75" t="n"/>
      <c r="V276" s="76" t="n"/>
      <c r="Y276" s="153" t="inlineStr">
        <is>
          <t>Global Inv - Mar 2026</t>
        </is>
      </c>
      <c r="Z276" s="153" t="inlineStr">
        <is>
          <t>NA</t>
        </is>
      </c>
      <c r="AA276" s="153" t="inlineStr">
        <is>
          <t>Cyber Security</t>
        </is>
      </c>
      <c r="AB276" s="121">
        <f>VLOOKUP(AA276,CategorySummaryTable[],2,FALSE)</f>
        <v/>
      </c>
    </row>
    <row r="277" ht="87" customHeight="1" s="142">
      <c r="B277" s="80" t="inlineStr">
        <is>
          <t>Lockbox Server for Bank of America Check Viewing</t>
        </is>
      </c>
      <c r="C277" s="75" t="inlineStr">
        <is>
          <t>All sales in the US paid by checks are sent to BoA to our Integra lockbox. This server runs a job that pulls the data from BoA daily and feeds into Oracle. Jobs run around 2am EST (verify job schedule).
If the system is down during the weekend, it will not have a business impact.
Maximum of 16-20hrs of downtime can be tolerated, not 24 hrs.</t>
        </is>
      </c>
      <c r="D277" s="75" t="inlineStr">
        <is>
          <t>Unknown</t>
        </is>
      </c>
      <c r="E277" s="75" t="n"/>
      <c r="F277" s="75" t="n"/>
      <c r="G277" s="75" t="n"/>
      <c r="H277" s="75" t="inlineStr">
        <is>
          <t>Used in Ireland for the US operations. Accounts receivable in Corp has access to use the system in case Ireland is unable to use it.</t>
        </is>
      </c>
      <c r="I277" s="75" t="inlineStr">
        <is>
          <t>Yes</t>
        </is>
      </c>
      <c r="J277" s="75" t="n"/>
      <c r="K277" s="75" t="inlineStr">
        <is>
          <t>On Premises (Client/Server)</t>
        </is>
      </c>
      <c r="L277" s="75" t="n"/>
      <c r="M277" s="75" t="n"/>
      <c r="N277" s="75" t="n"/>
      <c r="O277" s="75" t="n"/>
      <c r="P277" s="75" t="n"/>
      <c r="Q277" s="75" t="inlineStr">
        <is>
          <t>Unknown</t>
        </is>
      </c>
      <c r="R277" s="75" t="n"/>
      <c r="S277" s="75" t="n"/>
      <c r="T277" s="76" t="n"/>
      <c r="U277" s="75" t="inlineStr">
        <is>
          <t>server?</t>
        </is>
      </c>
      <c r="V277" s="76" t="n"/>
      <c r="Y277" s="153" t="inlineStr">
        <is>
          <t>Global Inv - Mar 2026</t>
        </is>
      </c>
      <c r="Z277" s="153" t="inlineStr">
        <is>
          <t>NA</t>
        </is>
      </c>
      <c r="AA277" s="153" t="inlineStr">
        <is>
          <t>Finance</t>
        </is>
      </c>
      <c r="AB277" s="121">
        <f>VLOOKUP(AA277,CategorySummaryTable[],2,FALSE)</f>
        <v/>
      </c>
    </row>
    <row r="278" ht="80" customHeight="1" s="142">
      <c r="B278" s="57" t="inlineStr">
        <is>
          <t>LOFTWARE</t>
        </is>
      </c>
      <c r="C278" s="75" t="n"/>
      <c r="D278" s="75" t="inlineStr">
        <is>
          <t>Active</t>
        </is>
      </c>
      <c r="E278" s="75" t="inlineStr">
        <is>
          <t>Loftware</t>
        </is>
      </c>
      <c r="F278" s="75" t="n"/>
      <c r="G278" s="75" t="n"/>
      <c r="H278" s="75" t="inlineStr">
        <is>
          <t>Boston</t>
        </is>
      </c>
      <c r="I278" s="75" t="inlineStr">
        <is>
          <t>Yes</t>
        </is>
      </c>
      <c r="J278" s="75" t="n"/>
      <c r="K278" s="75" t="inlineStr">
        <is>
          <t>On Premises (Client/Server)</t>
        </is>
      </c>
      <c r="L278" s="75" t="n"/>
      <c r="M278" s="75" t="n"/>
      <c r="N278" s="75" t="inlineStr">
        <is>
          <t>No</t>
        </is>
      </c>
      <c r="O278" s="75" t="n"/>
      <c r="P278" s="75" t="inlineStr">
        <is>
          <t>T1?</t>
        </is>
      </c>
      <c r="Q278" s="75" t="inlineStr">
        <is>
          <t>Y</t>
        </is>
      </c>
      <c r="R278" s="75" t="n"/>
      <c r="S278" s="75" t="inlineStr">
        <is>
          <t>Kishor Patel</t>
        </is>
      </c>
      <c r="T278" s="76" t="n">
        <v>44522</v>
      </c>
      <c r="U278" s="75" t="inlineStr">
        <is>
          <t>via Kishor Patel</t>
        </is>
      </c>
      <c r="V278" s="76" t="n">
        <v>44522</v>
      </c>
      <c r="Y278" s="153" t="inlineStr">
        <is>
          <t>Global Inv - Mar 2026</t>
        </is>
      </c>
      <c r="Z278" s="153" t="inlineStr">
        <is>
          <t>Enterprise labeling and label management software</t>
        </is>
      </c>
      <c r="AA278" s="153" t="inlineStr">
        <is>
          <t>Manufacturing</t>
        </is>
      </c>
      <c r="AB278" s="121">
        <f>VLOOKUP(AA278,CategorySummaryTable[],2,FALSE)</f>
        <v/>
      </c>
    </row>
    <row r="279" ht="80" customHeight="1" s="142">
      <c r="B279" s="57" t="inlineStr">
        <is>
          <t>LOFTWARE</t>
        </is>
      </c>
      <c r="C279" s="75" t="inlineStr">
        <is>
          <t>Printing WIP and finished goods labelling.
US311LOFTST001 - Production
US311LOFPRD001
US311LOFQA001
US311LOF002</t>
        </is>
      </c>
      <c r="D279" s="75" t="inlineStr">
        <is>
          <t>Active</t>
        </is>
      </c>
      <c r="E279" s="75" t="inlineStr">
        <is>
          <t>Loftware, Inc</t>
        </is>
      </c>
      <c r="F279" s="75" t="n"/>
      <c r="G279" s="75" t="inlineStr">
        <is>
          <t>Enterprise</t>
        </is>
      </c>
      <c r="H279" s="75" t="n"/>
      <c r="I279" s="75" t="inlineStr">
        <is>
          <t>Yes</t>
        </is>
      </c>
      <c r="J279" s="75" t="n"/>
      <c r="K279" s="75" t="n"/>
      <c r="L279" s="75" t="n"/>
      <c r="M279" s="75" t="n"/>
      <c r="N279" s="75" t="inlineStr">
        <is>
          <t>No</t>
        </is>
      </c>
      <c r="O279" s="75" t="n"/>
      <c r="P279" s="75" t="inlineStr">
        <is>
          <t>T1</t>
        </is>
      </c>
      <c r="Q279" s="75" t="inlineStr">
        <is>
          <t>Yes</t>
        </is>
      </c>
      <c r="R279" s="75" t="n"/>
      <c r="S279" s="75" t="inlineStr">
        <is>
          <t>Kishor Patel</t>
        </is>
      </c>
      <c r="T279" s="76" t="n">
        <v>44522</v>
      </c>
      <c r="U279" s="75" t="inlineStr">
        <is>
          <t>via Kishor Patel</t>
        </is>
      </c>
      <c r="V279" s="76" t="n">
        <v>44522</v>
      </c>
      <c r="Y279" s="153" t="inlineStr">
        <is>
          <t>Global Inv - Mar 2026</t>
        </is>
      </c>
      <c r="Z279" s="153" t="inlineStr">
        <is>
          <t>Enterprise label design, printing, and labeling management software</t>
        </is>
      </c>
      <c r="AA279" s="153" t="inlineStr">
        <is>
          <t>Manufacturing</t>
        </is>
      </c>
      <c r="AB279" s="121">
        <f>VLOOKUP(AA279,CategorySummaryTable[],2,FALSE)</f>
        <v/>
      </c>
    </row>
    <row r="280" ht="64" customHeight="1" s="142">
      <c r="B280" s="77" t="inlineStr">
        <is>
          <t>LOTUS NOTES</t>
        </is>
      </c>
      <c r="C280" s="75" t="n"/>
      <c r="D280" s="75" t="inlineStr">
        <is>
          <t>Not Started</t>
        </is>
      </c>
      <c r="E280" s="75" t="inlineStr">
        <is>
          <t>Lotus</t>
        </is>
      </c>
      <c r="F280" s="75" t="n"/>
      <c r="G280" s="75" t="n"/>
      <c r="H280" s="75" t="inlineStr">
        <is>
          <t>BIOT</t>
        </is>
      </c>
      <c r="I280" s="75" t="inlineStr">
        <is>
          <t>Yes</t>
        </is>
      </c>
      <c r="J280" s="75" t="n"/>
      <c r="K280" s="75" t="inlineStr">
        <is>
          <t>On Premises (Client/Server)</t>
        </is>
      </c>
      <c r="L280" s="75" t="n"/>
      <c r="M280" s="75" t="n"/>
      <c r="N280" s="75" t="n"/>
      <c r="O280" s="75" t="n"/>
      <c r="P280" s="75" t="n"/>
      <c r="Q280" s="75" t="inlineStr">
        <is>
          <t>N</t>
        </is>
      </c>
      <c r="R280" s="75" t="n"/>
      <c r="S280" s="75" t="n"/>
      <c r="T280" s="76" t="n"/>
      <c r="U280" s="75" t="n"/>
      <c r="V280" s="76" t="n"/>
      <c r="Y280" s="153" t="inlineStr">
        <is>
          <t>Global Inv - Mar 2026</t>
        </is>
      </c>
      <c r="Z280" s="153" t="inlineStr">
        <is>
          <t>Email and collaboration/groupware client software</t>
        </is>
      </c>
      <c r="AA280" s="153" t="inlineStr">
        <is>
          <t>IT Operations</t>
        </is>
      </c>
      <c r="AB280" s="121">
        <f>VLOOKUP(AA280,CategorySummaryTable[],2,FALSE)</f>
        <v/>
      </c>
    </row>
    <row r="281" ht="64" customHeight="1" s="142">
      <c r="B281" s="77" t="inlineStr">
        <is>
          <t>LOTUS NOTES</t>
        </is>
      </c>
      <c r="C281" s="75" t="n"/>
      <c r="D281" s="75" t="inlineStr">
        <is>
          <t>N/A</t>
        </is>
      </c>
      <c r="E281" s="75" t="inlineStr">
        <is>
          <t>Lotus</t>
        </is>
      </c>
      <c r="F281" s="75" t="n"/>
      <c r="G281" s="75" t="n"/>
      <c r="H281" s="75" t="inlineStr">
        <is>
          <t>BIOT</t>
        </is>
      </c>
      <c r="I281" s="75" t="inlineStr">
        <is>
          <t>Yes</t>
        </is>
      </c>
      <c r="J281" s="75" t="n"/>
      <c r="K281" s="75" t="inlineStr">
        <is>
          <t>On Premises (Client/Server)</t>
        </is>
      </c>
      <c r="L281" s="75" t="n"/>
      <c r="M281" s="75" t="n"/>
      <c r="N281" s="75" t="n"/>
      <c r="O281" s="75" t="n"/>
      <c r="P281" s="75" t="n"/>
      <c r="Q281" s="75" t="inlineStr">
        <is>
          <t>N</t>
        </is>
      </c>
      <c r="R281" s="75" t="n"/>
      <c r="S281" s="75" t="n"/>
      <c r="T281" s="76" t="n"/>
      <c r="U281" s="75" t="n"/>
      <c r="V281" s="76" t="n"/>
      <c r="Y281" s="153" t="inlineStr">
        <is>
          <t>Global Inv - Mar 2026</t>
        </is>
      </c>
      <c r="Z281" s="153" t="inlineStr">
        <is>
          <t>Email and collaboration/groupware client software</t>
        </is>
      </c>
      <c r="AA281" s="153" t="inlineStr">
        <is>
          <t>IT Operations</t>
        </is>
      </c>
      <c r="AB281" s="121">
        <f>VLOOKUP(AA281,CategorySummaryTable[],2,FALSE)</f>
        <v/>
      </c>
    </row>
    <row r="282" ht="80" customHeight="1" s="142">
      <c r="B282" s="56" t="inlineStr">
        <is>
          <t>LPCplus</t>
        </is>
      </c>
      <c r="C282" s="75" t="n"/>
      <c r="D282" s="75" t="inlineStr">
        <is>
          <t>Unknown</t>
        </is>
      </c>
      <c r="E282" s="75" t="inlineStr">
        <is>
          <t>IMA life</t>
        </is>
      </c>
      <c r="F282" s="75" t="n"/>
      <c r="G282" s="75" t="n"/>
      <c r="H282" s="75" t="inlineStr">
        <is>
          <t>Plainsboro Corp</t>
        </is>
      </c>
      <c r="I282" s="75" t="n"/>
      <c r="J282" s="75" t="n"/>
      <c r="K282" s="75" t="inlineStr">
        <is>
          <t>Local</t>
        </is>
      </c>
      <c r="L282" s="75" t="n"/>
      <c r="M282" s="75" t="n"/>
      <c r="N282" s="75" t="n"/>
      <c r="O282" s="75" t="n"/>
      <c r="P282" s="75" t="n"/>
      <c r="Q282" s="75" t="inlineStr">
        <is>
          <t>Y</t>
        </is>
      </c>
      <c r="R282" s="75" t="n"/>
      <c r="S282" s="75" t="n"/>
      <c r="T282" s="76" t="n"/>
      <c r="U282" s="75" t="n"/>
      <c r="V282" s="76" t="n"/>
      <c r="Y282" s="153" t="inlineStr">
        <is>
          <t>Global Inv - Mar 2026</t>
        </is>
      </c>
      <c r="Z282" s="153" t="inlineStr">
        <is>
          <t>Process control/SCADA software for pharmaceutical freeze dryers (lyophilizers)</t>
        </is>
      </c>
      <c r="AA282" s="153" t="inlineStr">
        <is>
          <t>Manufacturing</t>
        </is>
      </c>
      <c r="AB282" s="121">
        <f>VLOOKUP(AA282,CategorySummaryTable[],2,FALSE)</f>
        <v/>
      </c>
    </row>
    <row r="283" ht="80" customHeight="1" s="142">
      <c r="B283" s="53" t="inlineStr">
        <is>
          <t>LRN (existing)</t>
        </is>
      </c>
      <c r="C283" s="75" t="inlineStr">
        <is>
          <t>the Integra data hosted on LRN is very small. the SOP trainng documents are stored on SharePoint</t>
        </is>
      </c>
      <c r="D283" s="75" t="inlineStr">
        <is>
          <t>Decommissioned</t>
        </is>
      </c>
      <c r="E283" s="75" t="inlineStr">
        <is>
          <t>LRN Software</t>
        </is>
      </c>
      <c r="F283" s="75" t="n"/>
      <c r="G283" s="75" t="n"/>
      <c r="H283" s="75" t="inlineStr">
        <is>
          <t>Multi-Site: Austin, Boston, Billerica, Cincinnati OH, Plainsboro Corp, Plainsboro 109, Salt Lake, San Diego, St Paul, Waltham, York</t>
        </is>
      </c>
      <c r="I283" s="75" t="n"/>
      <c r="J283" s="75" t="inlineStr">
        <is>
          <t>Other</t>
        </is>
      </c>
      <c r="K283" s="75" t="inlineStr">
        <is>
          <t>SaaS</t>
        </is>
      </c>
      <c r="L283" s="75" t="n"/>
      <c r="M283" s="75" t="n"/>
      <c r="N283" s="75" t="n"/>
      <c r="O283" s="75" t="n"/>
      <c r="P283" s="75" t="n"/>
      <c r="Q283" s="75" t="inlineStr">
        <is>
          <t>No</t>
        </is>
      </c>
      <c r="R283" s="75" t="n"/>
      <c r="S283" s="75" t="n"/>
      <c r="T283" s="76" t="n"/>
      <c r="U283" s="75" t="n"/>
      <c r="V283" s="76" t="n"/>
      <c r="W283" s="71" t="inlineStr">
        <is>
          <t>LRN training content platform renewed for 3 years (until 2028)</t>
        </is>
      </c>
      <c r="Y283" s="153" t="inlineStr">
        <is>
          <t>Global Inv - Mar 2026</t>
        </is>
      </c>
      <c r="Z283" s="153" t="inlineStr">
        <is>
          <t>Ethics and compliance training/learning management platform</t>
        </is>
      </c>
      <c r="AA283" s="153" t="inlineStr">
        <is>
          <t>Compliance and Risk</t>
        </is>
      </c>
      <c r="AB283" s="121">
        <f>VLOOKUP(AA283,CategorySummaryTable[],2,FALSE)</f>
        <v/>
      </c>
    </row>
    <row r="284" ht="80" customHeight="1" s="142">
      <c r="B284" s="56" t="inlineStr">
        <is>
          <t>LS 13 320 SOFTWARE</t>
        </is>
      </c>
      <c r="C284" s="75" t="n"/>
      <c r="D284" s="75" t="inlineStr">
        <is>
          <t>Unknown</t>
        </is>
      </c>
      <c r="E284" s="75" t="inlineStr">
        <is>
          <t>Beckman Coulter</t>
        </is>
      </c>
      <c r="F284" s="75" t="n"/>
      <c r="G284" s="75" t="n"/>
      <c r="H284" s="75" t="inlineStr">
        <is>
          <t>Plainsboro Corp</t>
        </is>
      </c>
      <c r="I284" s="75" t="n"/>
      <c r="J284" s="75" t="n"/>
      <c r="K284" s="75" t="inlineStr">
        <is>
          <t>Local</t>
        </is>
      </c>
      <c r="L284" s="75" t="n"/>
      <c r="M284" s="75" t="n"/>
      <c r="N284" s="75" t="n"/>
      <c r="O284" s="75" t="n"/>
      <c r="P284" s="75" t="n"/>
      <c r="Q284" s="75" t="inlineStr">
        <is>
          <t>Y</t>
        </is>
      </c>
      <c r="R284" s="75" t="n"/>
      <c r="S284" s="75" t="n"/>
      <c r="T284" s="76" t="n"/>
      <c r="U284" s="75" t="n"/>
      <c r="V284" s="76" t="n"/>
      <c r="Y284" s="153" t="inlineStr">
        <is>
          <t>Global Inv - Mar 2026</t>
        </is>
      </c>
      <c r="Z284" s="153" t="inlineStr">
        <is>
          <t>Control and data analysis software for laser diffraction particle size analyzers</t>
        </is>
      </c>
      <c r="AA284" s="153" t="inlineStr">
        <is>
          <t>Clinical Manufacturing Process</t>
        </is>
      </c>
      <c r="AB284" s="121">
        <f>VLOOKUP(AA284,CategorySummaryTable[],2,FALSE)</f>
        <v/>
      </c>
    </row>
    <row r="285" ht="80" customHeight="1" s="142">
      <c r="B285" s="82" t="inlineStr">
        <is>
          <t>LVS</t>
        </is>
      </c>
      <c r="C285" s="75" t="n"/>
      <c r="D285" s="75" t="inlineStr">
        <is>
          <t>Unknown</t>
        </is>
      </c>
      <c r="E285" s="75" t="n"/>
      <c r="F285" s="75" t="n"/>
      <c r="G285" s="75" t="n"/>
      <c r="H285" s="75" t="inlineStr">
        <is>
          <t>Puerto Rico</t>
        </is>
      </c>
      <c r="I285" s="75" t="n"/>
      <c r="J285" s="75" t="inlineStr">
        <is>
          <t>Other</t>
        </is>
      </c>
      <c r="K285" s="75" t="inlineStr">
        <is>
          <t>Desktop</t>
        </is>
      </c>
      <c r="L285" s="75" t="n"/>
      <c r="M285" s="75" t="n"/>
      <c r="N285" s="75" t="n"/>
      <c r="O285" s="75" t="n"/>
      <c r="P285" s="75" t="n"/>
      <c r="Q285" s="75" t="inlineStr">
        <is>
          <t>Yes</t>
        </is>
      </c>
      <c r="R285" s="75" t="n"/>
      <c r="S285" s="75" t="n"/>
      <c r="T285" s="76" t="n"/>
      <c r="U285" s="75" t="n"/>
      <c r="V285" s="76" t="n"/>
      <c r="Y285" s="153" t="inlineStr">
        <is>
          <t>Global Inv - Mar 2026</t>
        </is>
      </c>
      <c r="Z285" s="153" t="inlineStr">
        <is>
          <t>NA</t>
        </is>
      </c>
      <c r="AA285" s="153" t="inlineStr">
        <is>
          <t>Quality and Validation</t>
        </is>
      </c>
      <c r="AB285" s="121">
        <f>VLOOKUP(AA285,CategorySummaryTable[],2,FALSE)</f>
        <v/>
      </c>
    </row>
    <row r="286" ht="80" customHeight="1" s="142">
      <c r="B286" s="77" t="inlineStr">
        <is>
          <t>LVS 7500 Barcode Verification</t>
        </is>
      </c>
      <c r="C286" s="75" t="n"/>
      <c r="D286" s="75" t="inlineStr">
        <is>
          <t>Unknown</t>
        </is>
      </c>
      <c r="E286" s="75" t="inlineStr">
        <is>
          <t>LVS Inc -Label Vision Systems</t>
        </is>
      </c>
      <c r="F286" s="75" t="n"/>
      <c r="G286" s="75" t="n"/>
      <c r="H286" s="75" t="inlineStr">
        <is>
          <t>Plainsboro 105, Austin, Cincinnati</t>
        </is>
      </c>
      <c r="I286" s="75" t="n"/>
      <c r="J286" s="75" t="n"/>
      <c r="K286" s="75" t="inlineStr">
        <is>
          <t>Desktop</t>
        </is>
      </c>
      <c r="L286" s="75" t="n"/>
      <c r="M286" s="75" t="n"/>
      <c r="N286" s="75" t="n"/>
      <c r="O286" s="75" t="n"/>
      <c r="P286" s="75" t="n"/>
      <c r="Q286" s="75" t="inlineStr">
        <is>
          <t>Y</t>
        </is>
      </c>
      <c r="R286" s="75" t="n"/>
      <c r="S286" s="75" t="n"/>
      <c r="T286" s="76" t="n"/>
      <c r="U286" s="75" t="n"/>
      <c r="V286" s="76" t="n"/>
      <c r="Y286" s="153" t="inlineStr">
        <is>
          <t>Global Inv - Mar 2026</t>
        </is>
      </c>
      <c r="Z286" s="153" t="inlineStr">
        <is>
          <t>Barcode/label print quality verification software and systems</t>
        </is>
      </c>
      <c r="AA286" s="153" t="inlineStr">
        <is>
          <t>Manufacturing</t>
        </is>
      </c>
      <c r="AB286" s="121">
        <f>VLOOKUP(AA286,CategorySummaryTable[],2,FALSE)</f>
        <v/>
      </c>
    </row>
    <row r="287" ht="80" customHeight="1" s="142">
      <c r="B287" s="77" t="inlineStr">
        <is>
          <t>LVS 95xx Barcode Verification</t>
        </is>
      </c>
      <c r="C287" s="75" t="n"/>
      <c r="D287" s="75" t="inlineStr">
        <is>
          <t>Unknown</t>
        </is>
      </c>
      <c r="E287" s="75" t="inlineStr">
        <is>
          <t>LVS Inc -Label Vision Systems</t>
        </is>
      </c>
      <c r="F287" s="75" t="n"/>
      <c r="G287" s="75" t="n"/>
      <c r="H287" s="75" t="inlineStr">
        <is>
          <t>Plainsboro 105, Austin, Cincinnati</t>
        </is>
      </c>
      <c r="I287" s="75" t="n"/>
      <c r="J287" s="75" t="n"/>
      <c r="K287" s="75" t="inlineStr">
        <is>
          <t>Desktop</t>
        </is>
      </c>
      <c r="L287" s="75" t="n"/>
      <c r="M287" s="75" t="n"/>
      <c r="N287" s="75" t="n"/>
      <c r="O287" s="75" t="n"/>
      <c r="P287" s="75" t="n"/>
      <c r="Q287" s="75" t="inlineStr">
        <is>
          <t>Y</t>
        </is>
      </c>
      <c r="R287" s="75" t="n"/>
      <c r="S287" s="75" t="n"/>
      <c r="T287" s="76" t="n"/>
      <c r="U287" s="75" t="n"/>
      <c r="V287" s="76" t="n"/>
      <c r="Y287" s="153" t="inlineStr">
        <is>
          <t>Global Inv - Mar 2026</t>
        </is>
      </c>
      <c r="Z287" s="153" t="inlineStr">
        <is>
          <t>Barcode/label print quality verification software and systems</t>
        </is>
      </c>
      <c r="AA287" s="153" t="inlineStr">
        <is>
          <t>Manufacturing</t>
        </is>
      </c>
      <c r="AB287" s="121">
        <f>VLOOKUP(AA287,CategorySummaryTable[],2,FALSE)</f>
        <v/>
      </c>
    </row>
    <row r="288" ht="80" customHeight="1" s="142">
      <c r="B288" s="77" t="inlineStr">
        <is>
          <t>LVS 95xx Barcode Verification</t>
        </is>
      </c>
      <c r="C288" s="75" t="n"/>
      <c r="D288" s="75" t="inlineStr">
        <is>
          <t>Unknown</t>
        </is>
      </c>
      <c r="E288" s="75" t="inlineStr">
        <is>
          <t>LVS Inc -Label Vision Systems</t>
        </is>
      </c>
      <c r="F288" s="75" t="n"/>
      <c r="G288" s="75" t="n"/>
      <c r="H288" s="75" t="inlineStr">
        <is>
          <t>Plainsboro 105, Austin, Cincinnati</t>
        </is>
      </c>
      <c r="I288" s="75" t="n"/>
      <c r="J288" s="75" t="n"/>
      <c r="K288" s="75" t="inlineStr">
        <is>
          <t>Desktop</t>
        </is>
      </c>
      <c r="L288" s="75" t="n"/>
      <c r="M288" s="75" t="n"/>
      <c r="N288" s="75" t="n"/>
      <c r="O288" s="75" t="n"/>
      <c r="P288" s="75" t="n"/>
      <c r="Q288" s="75" t="inlineStr">
        <is>
          <t>Y</t>
        </is>
      </c>
      <c r="R288" s="75" t="n"/>
      <c r="S288" s="75" t="n"/>
      <c r="T288" s="76" t="n"/>
      <c r="U288" s="75" t="n"/>
      <c r="V288" s="76" t="n"/>
      <c r="Y288" s="153" t="inlineStr">
        <is>
          <t>Global Inv - Mar 2026</t>
        </is>
      </c>
      <c r="Z288" s="153" t="inlineStr">
        <is>
          <t>Barcode/label print quality verification software and systems</t>
        </is>
      </c>
      <c r="AA288" s="153" t="inlineStr">
        <is>
          <t>Manufacturing</t>
        </is>
      </c>
      <c r="AB288" s="121">
        <f>VLOOKUP(AA288,CategorySummaryTable[],2,FALSE)</f>
        <v/>
      </c>
    </row>
    <row r="289" ht="80" customHeight="1" s="142">
      <c r="B289" s="56" t="inlineStr">
        <is>
          <t>LYON MANAGER II</t>
        </is>
      </c>
      <c r="C289" s="75" t="n"/>
      <c r="D289" s="75" t="inlineStr">
        <is>
          <t>Unknown</t>
        </is>
      </c>
      <c r="E289" s="75" t="inlineStr">
        <is>
          <t>SP Scientific + Lyomanager</t>
        </is>
      </c>
      <c r="F289" s="75" t="n"/>
      <c r="G289" s="75" t="n"/>
      <c r="H289" s="75" t="inlineStr">
        <is>
          <t>Plainsboro Corp</t>
        </is>
      </c>
      <c r="I289" s="75" t="n"/>
      <c r="J289" s="75" t="n"/>
      <c r="K289" s="75" t="inlineStr">
        <is>
          <t>Local</t>
        </is>
      </c>
      <c r="L289" s="75" t="n"/>
      <c r="M289" s="75" t="n"/>
      <c r="N289" s="75" t="n"/>
      <c r="O289" s="75" t="n"/>
      <c r="P289" s="75" t="n"/>
      <c r="Q289" s="75" t="inlineStr">
        <is>
          <t>N</t>
        </is>
      </c>
      <c r="R289" s="75" t="n"/>
      <c r="S289" s="75" t="n"/>
      <c r="T289" s="76" t="n"/>
      <c r="U289" s="75" t="n"/>
      <c r="V289" s="76" t="n"/>
      <c r="Y289" s="153" t="inlineStr">
        <is>
          <t>Global Inv - Mar 2026</t>
        </is>
      </c>
      <c r="Z289" s="153" t="inlineStr">
        <is>
          <t>Process control/cycle development software for freeze dryers (lyophilizers)</t>
        </is>
      </c>
      <c r="AA289" s="153" t="inlineStr">
        <is>
          <t>Manufacturing</t>
        </is>
      </c>
      <c r="AB289" s="121">
        <f>VLOOKUP(AA289,CategorySummaryTable[],2,FALSE)</f>
        <v/>
      </c>
    </row>
    <row r="290" ht="64" customHeight="1" s="142">
      <c r="B290" s="80" t="inlineStr">
        <is>
          <t>MaaS360</t>
        </is>
      </c>
      <c r="C290" s="75" t="inlineStr">
        <is>
          <t>management of BYOD and enterprise-issued devices, including smartphones, tablets, and laptops</t>
        </is>
      </c>
      <c r="D290" s="75" t="inlineStr">
        <is>
          <t>Unknown</t>
        </is>
      </c>
      <c r="E290" s="75" t="inlineStr">
        <is>
          <t>IBM + Fiberlink</t>
        </is>
      </c>
      <c r="F290" s="75" t="n"/>
      <c r="G290" s="75" t="n"/>
      <c r="H290" s="75" t="n"/>
      <c r="I290" s="75" t="n"/>
      <c r="J290" s="75" t="inlineStr">
        <is>
          <t>Other</t>
        </is>
      </c>
      <c r="K290" s="75" t="n"/>
      <c r="L290" s="75" t="n"/>
      <c r="M290" s="75" t="n"/>
      <c r="N290" s="75" t="n"/>
      <c r="O290" s="75" t="n"/>
      <c r="P290" s="75" t="n"/>
      <c r="Q290" s="75" t="n"/>
      <c r="R290" s="75" t="n"/>
      <c r="S290" s="75" t="n"/>
      <c r="T290" s="76" t="n"/>
      <c r="U290" s="75" t="n"/>
      <c r="V290" s="76" t="n"/>
      <c r="Y290" s="153" t="inlineStr">
        <is>
          <t>Global Inv - Mar 2026</t>
        </is>
      </c>
      <c r="Z290" s="153" t="inlineStr">
        <is>
          <t>Mobile device management (MDM) / enterprise mobility management software</t>
        </is>
      </c>
      <c r="AA290" s="153" t="inlineStr">
        <is>
          <t>IT Operations</t>
        </is>
      </c>
      <c r="AB290" s="121">
        <f>VLOOKUP(AA290,CategorySummaryTable[],2,FALSE)</f>
        <v/>
      </c>
    </row>
    <row r="291" ht="64" customHeight="1" s="142">
      <c r="B291" s="80" t="inlineStr">
        <is>
          <t>Malwarebytes</t>
        </is>
      </c>
      <c r="C291" s="75" t="inlineStr">
        <is>
          <t>Internet security software</t>
        </is>
      </c>
      <c r="D291" s="75" t="inlineStr">
        <is>
          <t>Unknown</t>
        </is>
      </c>
      <c r="E291" s="75" t="inlineStr">
        <is>
          <t>Malwarebytes</t>
        </is>
      </c>
      <c r="F291" s="75" t="n"/>
      <c r="G291" s="75" t="n"/>
      <c r="H291" s="75" t="n"/>
      <c r="I291" s="75" t="n"/>
      <c r="J291" s="75" t="inlineStr">
        <is>
          <t>Other</t>
        </is>
      </c>
      <c r="K291" s="75" t="n"/>
      <c r="L291" s="75" t="n"/>
      <c r="M291" s="75" t="n"/>
      <c r="N291" s="75" t="n"/>
      <c r="O291" s="75" t="n"/>
      <c r="P291" s="75" t="n"/>
      <c r="Q291" s="75" t="n"/>
      <c r="R291" s="75" t="n"/>
      <c r="S291" s="75" t="n"/>
      <c r="T291" s="76" t="n"/>
      <c r="U291" s="75" t="n"/>
      <c r="V291" s="76" t="n"/>
      <c r="Y291" s="153" t="inlineStr">
        <is>
          <t>Global Inv - Mar 2026</t>
        </is>
      </c>
      <c r="Z291" s="153" t="inlineStr">
        <is>
          <t>Anti-malware and endpoint security software</t>
        </is>
      </c>
      <c r="AA291" s="153" t="inlineStr">
        <is>
          <t>Cyber Security</t>
        </is>
      </c>
      <c r="AB291" s="121">
        <f>VLOOKUP(AA291,CategorySummaryTable[],2,FALSE)</f>
        <v/>
      </c>
    </row>
    <row r="292" ht="64" customHeight="1" s="142">
      <c r="B292" s="77" t="inlineStr">
        <is>
          <t>mamp</t>
        </is>
      </c>
      <c r="C292" s="75" t="n"/>
      <c r="D292" s="75" t="inlineStr">
        <is>
          <t>Unknown</t>
        </is>
      </c>
      <c r="E292" s="75" t="inlineStr">
        <is>
          <t>Mamp</t>
        </is>
      </c>
      <c r="F292" s="75" t="n"/>
      <c r="G292" s="75" t="n"/>
      <c r="H292" s="75" t="inlineStr">
        <is>
          <t>Lyon</t>
        </is>
      </c>
      <c r="I292" s="75" t="n"/>
      <c r="J292" s="75" t="n"/>
      <c r="K292" s="75" t="inlineStr">
        <is>
          <t>Local</t>
        </is>
      </c>
      <c r="L292" s="75" t="n"/>
      <c r="M292" s="75" t="n"/>
      <c r="N292" s="75" t="n"/>
      <c r="O292" s="75" t="n"/>
      <c r="P292" s="75" t="n"/>
      <c r="Q292" s="75" t="inlineStr">
        <is>
          <t>N</t>
        </is>
      </c>
      <c r="R292" s="75" t="n"/>
      <c r="S292" s="75" t="n"/>
      <c r="T292" s="76" t="n"/>
      <c r="U292" s="75" t="n"/>
      <c r="V292" s="76" t="n"/>
      <c r="Y292" s="153" t="inlineStr">
        <is>
          <t>Global Inv - Mar 2026</t>
        </is>
      </c>
      <c r="Z292" s="153" t="inlineStr">
        <is>
          <t>Local web server development stack (Apache, MySQL, PHP)</t>
        </is>
      </c>
      <c r="AA292" s="153" t="inlineStr">
        <is>
          <t>IT Operations</t>
        </is>
      </c>
      <c r="AB292" s="121">
        <f>VLOOKUP(AA292,CategorySummaryTable[],2,FALSE)</f>
        <v/>
      </c>
    </row>
    <row r="293" ht="101.5" customHeight="1" s="142">
      <c r="B293" s="80" t="inlineStr">
        <is>
          <t>Manufacturing DataPro2</t>
        </is>
      </c>
      <c r="C293" s="75" t="inlineStr">
        <is>
          <t>Used for TOC (total organic carbon - water testing) and conductivity testing on instruments. DataPro2 is the software that performs the testing.
A proposed solution is to move to VRTX in B109. No changes planned for this software. It was recently upgraded.
Server name application comment
US311GDP001 B105 QC Lab, TOC instruments, SQL DB Migrate to B109 Dell Vortex VM servers (tunneling between VILAN74 and VILAN 75)</t>
        </is>
      </c>
      <c r="D293" s="75" t="inlineStr">
        <is>
          <t>Unknown</t>
        </is>
      </c>
      <c r="E293" s="75" t="n"/>
      <c r="F293" s="75" t="n"/>
      <c r="G293" s="75" t="n"/>
      <c r="H293" s="75" t="inlineStr">
        <is>
          <t>US</t>
        </is>
      </c>
      <c r="I293" s="75" t="inlineStr">
        <is>
          <t>Yes</t>
        </is>
      </c>
      <c r="J293" s="75" t="n"/>
      <c r="K293" s="75" t="n"/>
      <c r="L293" s="75" t="n"/>
      <c r="M293" s="75" t="n"/>
      <c r="N293" s="75" t="n"/>
      <c r="O293" s="75" t="n"/>
      <c r="P293" s="75" t="n"/>
      <c r="Q293" s="75" t="inlineStr">
        <is>
          <t>Yes</t>
        </is>
      </c>
      <c r="R293" s="75" t="n"/>
      <c r="S293" s="75" t="n"/>
      <c r="T293" s="76" t="n"/>
      <c r="U293" s="75" t="n"/>
      <c r="V293" s="76" t="n"/>
      <c r="Y293" s="153" t="inlineStr">
        <is>
          <t>Global Inv - Mar 2026</t>
        </is>
      </c>
      <c r="Z293" s="153" t="inlineStr">
        <is>
          <t>Software for total organic carbon (TOC) and conductivity water testing instruments</t>
        </is>
      </c>
      <c r="AA293" s="153" t="inlineStr">
        <is>
          <t>Quality and Validation</t>
        </is>
      </c>
      <c r="AB293" s="121">
        <f>VLOOKUP(AA293,CategorySummaryTable[],2,FALSE)</f>
        <v/>
      </c>
    </row>
    <row r="294" ht="80" customHeight="1" s="142">
      <c r="B294" s="80" t="inlineStr">
        <is>
          <t>Master Control</t>
        </is>
      </c>
      <c r="C294" s="75" t="inlineStr">
        <is>
          <t>Automate and manage all critical compliance, product design and quality event documents from every point along the product lifecycle</t>
        </is>
      </c>
      <c r="D294" s="75" t="inlineStr">
        <is>
          <t>Unknown</t>
        </is>
      </c>
      <c r="E294" s="75" t="inlineStr">
        <is>
          <t>Master Control</t>
        </is>
      </c>
      <c r="F294" s="75" t="n"/>
      <c r="G294" s="75" t="n"/>
      <c r="H294" s="75" t="n"/>
      <c r="I294" s="75" t="n"/>
      <c r="J294" s="75" t="inlineStr">
        <is>
          <t>Other</t>
        </is>
      </c>
      <c r="K294" s="75" t="n"/>
      <c r="L294" s="75" t="n"/>
      <c r="M294" s="75" t="n"/>
      <c r="N294" s="75" t="n"/>
      <c r="O294" s="75" t="n"/>
      <c r="P294" s="75" t="n"/>
      <c r="Q294" s="75" t="n"/>
      <c r="R294" s="75" t="n"/>
      <c r="S294" s="75" t="n"/>
      <c r="T294" s="76" t="n"/>
      <c r="U294" s="75" t="n"/>
      <c r="V294" s="76" t="n"/>
      <c r="Y294" s="153" t="inlineStr">
        <is>
          <t>Global Inv - Mar 2026</t>
        </is>
      </c>
      <c r="Z294" s="153" t="inlineStr">
        <is>
          <t>Quality management system (QMS) and document control software</t>
        </is>
      </c>
      <c r="AA294" s="153" t="inlineStr">
        <is>
          <t>Quality and Validation</t>
        </is>
      </c>
      <c r="AB294" s="121">
        <f>VLOOKUP(AA294,CategorySummaryTable[],2,FALSE)</f>
        <v/>
      </c>
    </row>
    <row r="295" ht="80" customHeight="1" s="142">
      <c r="B295" s="90" t="inlineStr">
        <is>
          <t>MasterCAM</t>
        </is>
      </c>
      <c r="C295" s="75" t="inlineStr">
        <is>
          <t>CAD</t>
        </is>
      </c>
      <c r="D295" s="75" t="inlineStr">
        <is>
          <t>Active</t>
        </is>
      </c>
      <c r="E295" s="75" t="inlineStr">
        <is>
          <t>MasterCAM</t>
        </is>
      </c>
      <c r="F295" s="75" t="n"/>
      <c r="G295" s="75" t="n"/>
      <c r="H295" s="75" t="inlineStr">
        <is>
          <t>Cincinnati</t>
        </is>
      </c>
      <c r="I295" s="75" t="inlineStr">
        <is>
          <t>Yes</t>
        </is>
      </c>
      <c r="J295" s="75" t="n"/>
      <c r="K295" s="75" t="inlineStr">
        <is>
          <t>Desktop</t>
        </is>
      </c>
      <c r="L295" s="75" t="n"/>
      <c r="M295" s="75" t="n"/>
      <c r="N295" s="75" t="n"/>
      <c r="O295" s="75" t="n"/>
      <c r="P295" s="75" t="n"/>
      <c r="Q295" s="75" t="inlineStr">
        <is>
          <t>No</t>
        </is>
      </c>
      <c r="R295" s="75" t="n"/>
      <c r="S295" s="75" t="inlineStr">
        <is>
          <t>Michael Patterson</t>
        </is>
      </c>
      <c r="T295" s="76" t="n">
        <v>44516</v>
      </c>
      <c r="U295" s="75" t="inlineStr">
        <is>
          <t>via Michael Patterson</t>
        </is>
      </c>
      <c r="V295" s="76" t="n">
        <v>44516</v>
      </c>
      <c r="Y295" s="153" t="inlineStr">
        <is>
          <t>Global Inv - Mar 2026</t>
        </is>
      </c>
      <c r="Z295" s="153" t="inlineStr">
        <is>
          <t>CAD/CAM software for CNC machining toolpath programming</t>
        </is>
      </c>
      <c r="AA295" s="153" t="inlineStr">
        <is>
          <t>Manufacturing</t>
        </is>
      </c>
      <c r="AB295" s="121">
        <f>VLOOKUP(AA295,CategorySummaryTable[],2,FALSE)</f>
        <v/>
      </c>
    </row>
    <row r="296" ht="80" customHeight="1" s="142">
      <c r="B296" s="90" t="inlineStr">
        <is>
          <t>MasterCAM</t>
        </is>
      </c>
      <c r="C296" s="75" t="inlineStr">
        <is>
          <t>CAD</t>
        </is>
      </c>
      <c r="D296" s="75" t="inlineStr">
        <is>
          <t>Active</t>
        </is>
      </c>
      <c r="E296" s="75" t="inlineStr">
        <is>
          <t>MasterCAM</t>
        </is>
      </c>
      <c r="F296" s="75" t="n"/>
      <c r="G296" s="75" t="n"/>
      <c r="H296" s="75" t="inlineStr">
        <is>
          <t>Cincinnati</t>
        </is>
      </c>
      <c r="I296" s="75" t="inlineStr">
        <is>
          <t>Yes</t>
        </is>
      </c>
      <c r="J296" s="75" t="n"/>
      <c r="K296" s="75" t="inlineStr">
        <is>
          <t>Desktop</t>
        </is>
      </c>
      <c r="L296" s="75" t="n"/>
      <c r="M296" s="75" t="n"/>
      <c r="N296" s="75" t="n"/>
      <c r="O296" s="75" t="n"/>
      <c r="P296" s="75" t="n"/>
      <c r="Q296" s="75" t="inlineStr">
        <is>
          <t>No</t>
        </is>
      </c>
      <c r="R296" s="75" t="n"/>
      <c r="S296" s="75" t="inlineStr">
        <is>
          <t>Michael Patterson</t>
        </is>
      </c>
      <c r="T296" s="76" t="n">
        <v>44516</v>
      </c>
      <c r="U296" s="75" t="inlineStr">
        <is>
          <t>via Michael Patterson</t>
        </is>
      </c>
      <c r="V296" s="76" t="n">
        <v>44516</v>
      </c>
      <c r="Y296" s="153" t="inlineStr">
        <is>
          <t>Global Inv - Mar 2026</t>
        </is>
      </c>
      <c r="Z296" s="153" t="inlineStr">
        <is>
          <t>CAD/CAM software for CNC machining toolpath programming</t>
        </is>
      </c>
      <c r="AA296" s="153" t="inlineStr">
        <is>
          <t>Manufacturing</t>
        </is>
      </c>
      <c r="AB296" s="121">
        <f>VLOOKUP(AA296,CategorySummaryTable[],2,FALSE)</f>
        <v/>
      </c>
    </row>
    <row r="297" ht="64" customHeight="1" s="142">
      <c r="B297" s="56" t="inlineStr">
        <is>
          <t>MATLAB</t>
        </is>
      </c>
      <c r="C297" s="75" t="n"/>
      <c r="D297" s="75" t="inlineStr">
        <is>
          <t>Unknown</t>
        </is>
      </c>
      <c r="E297" s="75" t="inlineStr">
        <is>
          <t>Matlab</t>
        </is>
      </c>
      <c r="F297" s="75" t="n"/>
      <c r="G297" s="75" t="n"/>
      <c r="H297" s="75" t="inlineStr">
        <is>
          <t>Billerica</t>
        </is>
      </c>
      <c r="I297" s="75" t="n"/>
      <c r="J297" s="75" t="n"/>
      <c r="K297" s="75" t="inlineStr">
        <is>
          <t>Desktop</t>
        </is>
      </c>
      <c r="L297" s="75" t="n"/>
      <c r="M297" s="75" t="n"/>
      <c r="N297" s="75" t="n"/>
      <c r="O297" s="75" t="n"/>
      <c r="P297" s="75" t="n"/>
      <c r="Q297" s="75" t="inlineStr">
        <is>
          <t>N</t>
        </is>
      </c>
      <c r="R297" s="75" t="n"/>
      <c r="S297" s="75" t="n"/>
      <c r="T297" s="76" t="n"/>
      <c r="U297" s="75" t="n"/>
      <c r="V297" s="76" t="n"/>
      <c r="Y297" s="153" t="inlineStr">
        <is>
          <t>Global Inv - Mar 2026</t>
        </is>
      </c>
      <c r="Z297" s="153" t="inlineStr">
        <is>
          <t>Numerical computing and technical programming/analysis software</t>
        </is>
      </c>
      <c r="AA297" s="153" t="inlineStr">
        <is>
          <t>Engineering</t>
        </is>
      </c>
      <c r="AB297" s="121">
        <f>VLOOKUP(AA297,CategorySummaryTable[],2,FALSE)</f>
        <v/>
      </c>
    </row>
    <row r="298" ht="64" customHeight="1" s="142">
      <c r="B298" s="56" t="inlineStr">
        <is>
          <t>MAXIMO</t>
        </is>
      </c>
      <c r="C298" s="75" t="inlineStr">
        <is>
          <t>cloud-based Enterprise Asset Management (EAM) and computerized maintenance management system (CMMS) software suite.  Serves as a centralized platform designed to help asset-intensive organizations track, monitor, and manage their physical assets</t>
        </is>
      </c>
      <c r="D298" s="75" t="inlineStr">
        <is>
          <t>Unknown</t>
        </is>
      </c>
      <c r="E298" s="75" t="inlineStr">
        <is>
          <t>IBM</t>
        </is>
      </c>
      <c r="F298" s="75" t="n"/>
      <c r="G298" s="75" t="n"/>
      <c r="H298" s="75" t="inlineStr">
        <is>
          <t>Puerto Rico, Plainsboro (in the process if implementation)</t>
        </is>
      </c>
      <c r="I298" s="75" t="inlineStr">
        <is>
          <t>Yes</t>
        </is>
      </c>
      <c r="J298" s="75" t="n"/>
      <c r="K298" s="75" t="inlineStr">
        <is>
          <t>On Premises (Client/Server)</t>
        </is>
      </c>
      <c r="L298" s="75" t="n"/>
      <c r="M298" s="75" t="n"/>
      <c r="N298" s="75" t="n"/>
      <c r="O298" s="75" t="n"/>
      <c r="P298" s="75" t="n"/>
      <c r="Q298" s="75" t="inlineStr">
        <is>
          <t>Y</t>
        </is>
      </c>
      <c r="R298" s="75" t="n"/>
      <c r="S298" s="75" t="n"/>
      <c r="T298" s="76" t="n"/>
      <c r="U298" s="75" t="n"/>
      <c r="V298" s="76" t="n"/>
      <c r="Y298" s="153" t="inlineStr">
        <is>
          <t>Global Inv - Mar 2026</t>
        </is>
      </c>
      <c r="Z298" s="153" t="inlineStr">
        <is>
          <t>Enterprise asset management (EAM) and maintenance management (CMMS) software</t>
        </is>
      </c>
      <c r="AA298" s="153" t="inlineStr">
        <is>
          <t>IT Operations</t>
        </is>
      </c>
      <c r="AB298" s="121">
        <f>VLOOKUP(AA298,CategorySummaryTable[],2,FALSE)</f>
        <v/>
      </c>
    </row>
    <row r="299" ht="80" customHeight="1" s="142">
      <c r="B299" s="80" t="inlineStr">
        <is>
          <t>Mayfield-production</t>
        </is>
      </c>
      <c r="C299" s="75" t="inlineStr">
        <is>
          <t>Web server managed by Corporate Marketing group</t>
        </is>
      </c>
      <c r="D299" s="75" t="inlineStr">
        <is>
          <t>Unknown</t>
        </is>
      </c>
      <c r="E299" s="75" t="n"/>
      <c r="F299" s="75" t="n"/>
      <c r="G299" s="75" t="n"/>
      <c r="H299" s="75" t="n"/>
      <c r="I299" s="75" t="n"/>
      <c r="J299" s="75" t="n"/>
      <c r="K299" s="75" t="n"/>
      <c r="L299" s="75" t="n"/>
      <c r="M299" s="75" t="n"/>
      <c r="N299" s="75" t="n"/>
      <c r="O299" s="75" t="n"/>
      <c r="P299" s="75" t="n"/>
      <c r="Q299" s="75" t="n"/>
      <c r="R299" s="75" t="n"/>
      <c r="S299" s="75" t="n"/>
      <c r="T299" s="76" t="n"/>
      <c r="U299" s="75" t="inlineStr">
        <is>
          <t>server?</t>
        </is>
      </c>
      <c r="V299" s="76" t="n"/>
      <c r="Y299" s="153" t="inlineStr">
        <is>
          <t>Global Inv - Mar 2026</t>
        </is>
      </c>
      <c r="Z299" s="153" t="inlineStr">
        <is>
          <t>NA</t>
        </is>
      </c>
      <c r="AA299" s="153" t="inlineStr">
        <is>
          <t>Marketing</t>
        </is>
      </c>
      <c r="AB299" s="121">
        <f>VLOOKUP(AA299,CategorySummaryTable[],2,FALSE)</f>
        <v/>
      </c>
    </row>
    <row r="300" ht="64" customHeight="1" s="142">
      <c r="B300" s="80" t="inlineStr">
        <is>
          <t>MBAM</t>
        </is>
      </c>
      <c r="C300" s="75" t="inlineStr">
        <is>
          <t>Microsoft Bitlocker and Administration Monitoring. The management of Bitlocker. Minimum impact during the weekend.</t>
        </is>
      </c>
      <c r="D300" s="75" t="inlineStr">
        <is>
          <t>Unknown</t>
        </is>
      </c>
      <c r="E300" s="75" t="n"/>
      <c r="F300" s="75" t="n"/>
      <c r="G300" s="75" t="inlineStr">
        <is>
          <t>Enterprise</t>
        </is>
      </c>
      <c r="H300" s="75" t="n"/>
      <c r="I300" s="75" t="inlineStr">
        <is>
          <t>Yes</t>
        </is>
      </c>
      <c r="J300" s="75" t="n"/>
      <c r="K300" s="75" t="inlineStr">
        <is>
          <t>On Premises (Client/Server)</t>
        </is>
      </c>
      <c r="L300" s="75" t="n"/>
      <c r="M300" s="75" t="n"/>
      <c r="N300" s="75" t="n"/>
      <c r="O300" s="75" t="n"/>
      <c r="P300" s="75" t="n"/>
      <c r="Q300" s="75" t="inlineStr">
        <is>
          <t>No</t>
        </is>
      </c>
      <c r="R300" s="75" t="n"/>
      <c r="S300" s="75" t="n"/>
      <c r="T300" s="76" t="n"/>
      <c r="U300" s="75" t="n"/>
      <c r="V300" s="76" t="n"/>
      <c r="Y300" s="153" t="inlineStr">
        <is>
          <t>Global Inv - Mar 2026</t>
        </is>
      </c>
      <c r="Z300" s="153" t="inlineStr">
        <is>
          <t>BitLocker drive encryption management and monitoring software</t>
        </is>
      </c>
      <c r="AA300" s="153" t="inlineStr">
        <is>
          <t>Cyber Security</t>
        </is>
      </c>
      <c r="AB300" s="121">
        <f>VLOOKUP(AA300,CategorySummaryTable[],2,FALSE)</f>
        <v/>
      </c>
    </row>
    <row r="301" ht="64" customHeight="1" s="142">
      <c r="B301" s="80" t="inlineStr">
        <is>
          <t>McAfee</t>
        </is>
      </c>
      <c r="C301" s="75" t="inlineStr">
        <is>
          <t>Security Software</t>
        </is>
      </c>
      <c r="D301" s="75" t="inlineStr">
        <is>
          <t>Unknown</t>
        </is>
      </c>
      <c r="E301" s="75" t="inlineStr">
        <is>
          <t>McAfee</t>
        </is>
      </c>
      <c r="F301" s="75" t="n"/>
      <c r="G301" s="75" t="n"/>
      <c r="H301" s="75" t="n"/>
      <c r="I301" s="75" t="n"/>
      <c r="J301" s="75" t="inlineStr">
        <is>
          <t>Other</t>
        </is>
      </c>
      <c r="K301" s="75" t="n"/>
      <c r="L301" s="75" t="n"/>
      <c r="M301" s="75" t="n"/>
      <c r="N301" s="75" t="n"/>
      <c r="O301" s="75" t="n"/>
      <c r="P301" s="75" t="n"/>
      <c r="Q301" s="75" t="n"/>
      <c r="R301" s="75" t="n"/>
      <c r="S301" s="75" t="n"/>
      <c r="T301" s="76" t="n"/>
      <c r="U301" s="75" t="n"/>
      <c r="V301" s="76" t="n"/>
      <c r="Y301" s="153" t="inlineStr">
        <is>
          <t>Global Inv - Mar 2026</t>
        </is>
      </c>
      <c r="Z301" s="153" t="inlineStr">
        <is>
          <t>Endpoint security/antivirus software</t>
        </is>
      </c>
      <c r="AA301" s="153" t="inlineStr">
        <is>
          <t>Cyber Security</t>
        </is>
      </c>
      <c r="AB301" s="121">
        <f>VLOOKUP(AA301,CategorySummaryTable[],2,FALSE)</f>
        <v/>
      </c>
    </row>
    <row r="302" ht="80" customHeight="1" s="142">
      <c r="B302" s="77" t="inlineStr">
        <is>
          <t>Measulink</t>
        </is>
      </c>
      <c r="C302" s="75" t="n"/>
      <c r="D302" s="75" t="inlineStr">
        <is>
          <t>Unknown</t>
        </is>
      </c>
      <c r="E302" s="75" t="n"/>
      <c r="F302" s="75" t="n"/>
      <c r="G302" s="75" t="n"/>
      <c r="H302" s="75" t="inlineStr">
        <is>
          <t>Puerto Rico</t>
        </is>
      </c>
      <c r="I302" s="75" t="n"/>
      <c r="J302" s="75" t="n"/>
      <c r="K302" s="75" t="n"/>
      <c r="L302" s="75" t="n"/>
      <c r="M302" s="75" t="n"/>
      <c r="N302" s="75" t="n"/>
      <c r="O302" s="75" t="n"/>
      <c r="P302" s="75" t="n"/>
      <c r="Q302" s="75" t="inlineStr">
        <is>
          <t>Yes</t>
        </is>
      </c>
      <c r="R302" s="75" t="n">
        <v>3</v>
      </c>
      <c r="S302" s="75" t="n"/>
      <c r="T302" s="76" t="n"/>
      <c r="U302" s="75" t="n"/>
      <c r="V302" s="76" t="n"/>
      <c r="Y302" s="153" t="inlineStr">
        <is>
          <t>Global Inv - Mar 2026</t>
        </is>
      </c>
      <c r="Z302" s="153" t="inlineStr">
        <is>
          <t>Quality management software for measurement data collection and SPC</t>
        </is>
      </c>
      <c r="AA302" s="153" t="inlineStr">
        <is>
          <t>Quality and Validation</t>
        </is>
      </c>
      <c r="AB302" s="121">
        <f>VLOOKUP(AA302,CategorySummaryTable[],2,FALSE)</f>
        <v/>
      </c>
    </row>
    <row r="303" ht="80" customHeight="1" s="142">
      <c r="B303" s="57" t="inlineStr">
        <is>
          <t>Merlin II PinStamp</t>
        </is>
      </c>
      <c r="C303" s="75" t="inlineStr">
        <is>
          <t>LOT code etcher for parts</t>
        </is>
      </c>
      <c r="D303" s="75" t="inlineStr">
        <is>
          <t>Active</t>
        </is>
      </c>
      <c r="E303" s="75" t="inlineStr">
        <is>
          <t>Telesis + Merlin</t>
        </is>
      </c>
      <c r="F303" s="75" t="n"/>
      <c r="G303" s="75" t="n"/>
      <c r="H303" s="75" t="inlineStr">
        <is>
          <t>Cincinnati</t>
        </is>
      </c>
      <c r="I303" s="75" t="inlineStr">
        <is>
          <t>Yes</t>
        </is>
      </c>
      <c r="J303" s="75" t="n"/>
      <c r="K303" s="75" t="inlineStr">
        <is>
          <t>Desktop</t>
        </is>
      </c>
      <c r="L303" s="75" t="n"/>
      <c r="M303" s="75" t="n"/>
      <c r="N303" s="75" t="n"/>
      <c r="O303" s="75" t="n"/>
      <c r="P303" s="75" t="n"/>
      <c r="Q303" s="75" t="inlineStr">
        <is>
          <t>No</t>
        </is>
      </c>
      <c r="R303" s="75" t="n"/>
      <c r="S303" s="75" t="inlineStr">
        <is>
          <t>Michael Patterson</t>
        </is>
      </c>
      <c r="T303" s="76" t="n">
        <v>44516</v>
      </c>
      <c r="U303" s="75" t="inlineStr">
        <is>
          <t>via Michael Patterson</t>
        </is>
      </c>
      <c r="V303" s="76" t="n">
        <v>44516</v>
      </c>
      <c r="Y303" s="153" t="inlineStr">
        <is>
          <t>Global Inv - Mar 2026</t>
        </is>
      </c>
      <c r="Z303" s="153" t="inlineStr">
        <is>
          <t>Pin-stamp/dot-peen part marking and identification system software</t>
        </is>
      </c>
      <c r="AA303" s="153" t="inlineStr">
        <is>
          <t>Manufacturing</t>
        </is>
      </c>
      <c r="AB303" s="121">
        <f>VLOOKUP(AA303,CategorySummaryTable[],2,FALSE)</f>
        <v/>
      </c>
    </row>
    <row r="304" ht="80" customHeight="1" s="142">
      <c r="B304" s="90" t="inlineStr">
        <is>
          <t>MES</t>
        </is>
      </c>
      <c r="C304" s="75" t="inlineStr">
        <is>
          <t>Custom software used for Rework orders in MFG. Active but only using Rework Order module</t>
        </is>
      </c>
      <c r="D304" s="75" t="inlineStr">
        <is>
          <t>Unknown</t>
        </is>
      </c>
      <c r="E304" s="75" t="inlineStr">
        <is>
          <t>Mes</t>
        </is>
      </c>
      <c r="F304" s="75" t="n"/>
      <c r="G304" s="75" t="n"/>
      <c r="H304" s="75" t="inlineStr">
        <is>
          <t>Cincinnati</t>
        </is>
      </c>
      <c r="I304" s="75" t="n"/>
      <c r="J304" s="75" t="n"/>
      <c r="K304" s="75" t="inlineStr">
        <is>
          <t>SaaS</t>
        </is>
      </c>
      <c r="L304" s="75" t="n"/>
      <c r="M304" s="75" t="n"/>
      <c r="N304" s="75" t="n"/>
      <c r="O304" s="75" t="n"/>
      <c r="P304" s="75" t="n"/>
      <c r="Q304" s="75" t="inlineStr">
        <is>
          <t>No</t>
        </is>
      </c>
      <c r="R304" s="75" t="n"/>
      <c r="S304" s="75" t="inlineStr">
        <is>
          <t>Michael Patterson</t>
        </is>
      </c>
      <c r="T304" s="76" t="n">
        <v>44516</v>
      </c>
      <c r="U304" s="75" t="inlineStr">
        <is>
          <t>via Michael Patterson</t>
        </is>
      </c>
      <c r="V304" s="76" t="n">
        <v>44516</v>
      </c>
      <c r="Y304" s="153" t="inlineStr">
        <is>
          <t>Global Inv - Mar 2026</t>
        </is>
      </c>
      <c r="Z304" s="153" t="inlineStr">
        <is>
          <t>NA</t>
        </is>
      </c>
      <c r="AA304" s="153" t="inlineStr">
        <is>
          <t>Manufacturing</t>
        </is>
      </c>
      <c r="AB304" s="121">
        <f>VLOOKUP(AA304,CategorySummaryTable[],2,FALSE)</f>
        <v/>
      </c>
    </row>
    <row r="305" ht="80" customHeight="1" s="142">
      <c r="B305" s="77" t="inlineStr">
        <is>
          <t>MicroLab</t>
        </is>
      </c>
      <c r="C305" s="75" t="n"/>
      <c r="D305" s="75" t="inlineStr">
        <is>
          <t>Unknown</t>
        </is>
      </c>
      <c r="E305" s="75" t="inlineStr">
        <is>
          <t>Microlab</t>
        </is>
      </c>
      <c r="F305" s="75" t="n"/>
      <c r="G305" s="75" t="n"/>
      <c r="H305" s="75" t="inlineStr">
        <is>
          <t>Plainsboro 105</t>
        </is>
      </c>
      <c r="I305" s="75" t="inlineStr">
        <is>
          <t>Yes</t>
        </is>
      </c>
      <c r="J305" s="75" t="n"/>
      <c r="K305" s="75" t="inlineStr">
        <is>
          <t>On Premises (Client/Server)</t>
        </is>
      </c>
      <c r="L305" s="75" t="n"/>
      <c r="M305" s="75" t="n"/>
      <c r="N305" s="75" t="n"/>
      <c r="O305" s="75" t="n"/>
      <c r="P305" s="75" t="n"/>
      <c r="Q305" s="75" t="inlineStr">
        <is>
          <t>Y</t>
        </is>
      </c>
      <c r="R305" s="75" t="n"/>
      <c r="S305" s="75" t="n"/>
      <c r="T305" s="76" t="n"/>
      <c r="U305" s="75" t="n"/>
      <c r="V305" s="76" t="n"/>
      <c r="Y305" s="153" t="inlineStr">
        <is>
          <t>Global Inv - Mar 2026</t>
        </is>
      </c>
      <c r="Z305" s="153" t="inlineStr">
        <is>
          <t>NA</t>
        </is>
      </c>
      <c r="AA305" s="153" t="inlineStr">
        <is>
          <t>Clinical Manufacturing Process</t>
        </is>
      </c>
      <c r="AB305" s="121">
        <f>VLOOKUP(AA305,CategorySummaryTable[],2,FALSE)</f>
        <v/>
      </c>
    </row>
    <row r="306" ht="64" customHeight="1" s="142">
      <c r="B306" s="77" t="inlineStr">
        <is>
          <t>Microsoft Embedded Standard 7 (Image Configuration Editor)</t>
        </is>
      </c>
      <c r="C306" s="75" t="n"/>
      <c r="D306" s="75" t="inlineStr">
        <is>
          <t>Unknown</t>
        </is>
      </c>
      <c r="E306" s="75" t="inlineStr">
        <is>
          <t>Microsoft</t>
        </is>
      </c>
      <c r="F306" s="75" t="n"/>
      <c r="G306" s="75" t="n"/>
      <c r="H306" s="75" t="inlineStr">
        <is>
          <t>Billerica</t>
        </is>
      </c>
      <c r="I306" s="75" t="n"/>
      <c r="J306" s="75" t="n"/>
      <c r="K306" s="75" t="inlineStr">
        <is>
          <t>Desktop</t>
        </is>
      </c>
      <c r="L306" s="75" t="n"/>
      <c r="M306" s="75" t="n"/>
      <c r="N306" s="75" t="n"/>
      <c r="O306" s="75" t="n"/>
      <c r="P306" s="75" t="n"/>
      <c r="Q306" s="75" t="inlineStr">
        <is>
          <t>N</t>
        </is>
      </c>
      <c r="R306" s="75" t="n"/>
      <c r="S306" s="75" t="n"/>
      <c r="T306" s="76" t="n"/>
      <c r="U306" s="75" t="n"/>
      <c r="V306" s="76" t="n"/>
      <c r="Y306" s="153" t="inlineStr">
        <is>
          <t>Global Inv - Mar 2026</t>
        </is>
      </c>
      <c r="Z306" s="153" t="inlineStr">
        <is>
          <t>Tooling for building/configuring Windows Embedded Standard 7 OS images</t>
        </is>
      </c>
      <c r="AA306" s="153" t="inlineStr">
        <is>
          <t>IT Operations</t>
        </is>
      </c>
      <c r="AB306" s="121">
        <f>VLOOKUP(AA306,CategorySummaryTable[],2,FALSE)</f>
        <v/>
      </c>
    </row>
    <row r="307" ht="64" customHeight="1" s="142">
      <c r="B307" s="77" t="inlineStr">
        <is>
          <t>Microsoft Project</t>
        </is>
      </c>
      <c r="C307" s="75" t="inlineStr">
        <is>
          <t>Marked for deletetion</t>
        </is>
      </c>
      <c r="D307" s="75" t="inlineStr">
        <is>
          <t>Unknown</t>
        </is>
      </c>
      <c r="E307" s="75" t="inlineStr">
        <is>
          <t>Microsoft</t>
        </is>
      </c>
      <c r="F307" s="75" t="n"/>
      <c r="G307" s="75" t="inlineStr">
        <is>
          <t>Enterprise</t>
        </is>
      </c>
      <c r="H307" s="75" t="n"/>
      <c r="I307" s="75" t="n"/>
      <c r="J307" s="75" t="n"/>
      <c r="K307" s="75" t="inlineStr">
        <is>
          <t>Desktop</t>
        </is>
      </c>
      <c r="L307" s="75" t="n"/>
      <c r="M307" s="75" t="n"/>
      <c r="N307" s="75" t="n"/>
      <c r="O307" s="75" t="n"/>
      <c r="P307" s="75" t="n"/>
      <c r="Q307" s="75" t="inlineStr">
        <is>
          <t>N</t>
        </is>
      </c>
      <c r="R307" s="75" t="n"/>
      <c r="S307" s="75" t="n"/>
      <c r="T307" s="76" t="n"/>
      <c r="U307" s="75" t="n"/>
      <c r="V307" s="76" t="n"/>
      <c r="Y307" s="153" t="inlineStr">
        <is>
          <t>Global Inv - Mar 2026</t>
        </is>
      </c>
      <c r="Z307" s="153" t="inlineStr">
        <is>
          <t>Project management and scheduling software</t>
        </is>
      </c>
      <c r="AA307" s="153" t="inlineStr">
        <is>
          <t>IT Operations</t>
        </is>
      </c>
      <c r="AB307" s="121">
        <f>VLOOKUP(AA307,CategorySummaryTable[],2,FALSE)</f>
        <v/>
      </c>
    </row>
    <row r="308" ht="64" customHeight="1" s="142">
      <c r="B308" s="77" t="inlineStr">
        <is>
          <t>Microsoft Skype</t>
        </is>
      </c>
      <c r="C308" s="75" t="inlineStr">
        <is>
          <t>Marked for deletetion</t>
        </is>
      </c>
      <c r="D308" s="75" t="inlineStr">
        <is>
          <t>Survey Complete with Improvement Opps</t>
        </is>
      </c>
      <c r="E308" s="75" t="inlineStr">
        <is>
          <t>Microsoft</t>
        </is>
      </c>
      <c r="F308" s="75" t="n"/>
      <c r="G308" s="75" t="n"/>
      <c r="H308" s="75" t="n"/>
      <c r="I308" s="75" t="n"/>
      <c r="J308" s="75" t="n"/>
      <c r="K308" s="75" t="inlineStr">
        <is>
          <t>Desktop</t>
        </is>
      </c>
      <c r="L308" s="75" t="n"/>
      <c r="M308" s="75" t="n"/>
      <c r="N308" s="75" t="n"/>
      <c r="O308" s="75" t="n"/>
      <c r="P308" s="75" t="n"/>
      <c r="Q308" s="75" t="n"/>
      <c r="R308" s="75" t="n"/>
      <c r="S308" s="75" t="n"/>
      <c r="T308" s="76" t="n"/>
      <c r="U308" s="75" t="n"/>
      <c r="V308" s="76" t="n"/>
      <c r="Y308" s="153" t="inlineStr">
        <is>
          <t>Global Inv - Mar 2026</t>
        </is>
      </c>
      <c r="Z308" s="153" t="inlineStr">
        <is>
          <t>Voice/video calling and instant messaging software</t>
        </is>
      </c>
      <c r="AA308" s="153" t="inlineStr">
        <is>
          <t>IT Operations</t>
        </is>
      </c>
      <c r="AB308" s="121">
        <f>VLOOKUP(AA308,CategorySummaryTable[],2,FALSE)</f>
        <v/>
      </c>
    </row>
    <row r="309" ht="64" customHeight="1" s="142">
      <c r="B309" s="83" t="inlineStr">
        <is>
          <t>Microsoft SQL Server</t>
        </is>
      </c>
      <c r="C309" s="75" t="n"/>
      <c r="D309" s="75" t="inlineStr">
        <is>
          <t>Unknown</t>
        </is>
      </c>
      <c r="E309" s="75" t="inlineStr">
        <is>
          <t>Microsoft</t>
        </is>
      </c>
      <c r="F309" s="75" t="n"/>
      <c r="G309" s="75" t="n"/>
      <c r="H309" s="75" t="inlineStr">
        <is>
          <t>St. Aubin</t>
        </is>
      </c>
      <c r="I309" s="75" t="inlineStr">
        <is>
          <t>Yes</t>
        </is>
      </c>
      <c r="J309" s="75" t="n"/>
      <c r="K309" s="75" t="inlineStr">
        <is>
          <t>Database</t>
        </is>
      </c>
      <c r="L309" s="75" t="n"/>
      <c r="M309" s="75" t="n"/>
      <c r="N309" s="75" t="n"/>
      <c r="O309" s="75" t="n"/>
      <c r="P309" s="75" t="n"/>
      <c r="Q309" s="75" t="inlineStr">
        <is>
          <t>No</t>
        </is>
      </c>
      <c r="R309" s="75" t="n"/>
      <c r="S309" s="75" t="n"/>
      <c r="T309" s="76" t="n"/>
      <c r="U309" s="75" t="inlineStr">
        <is>
          <t>server?</t>
        </is>
      </c>
      <c r="V309" s="76" t="n"/>
      <c r="Y309" s="153" t="inlineStr">
        <is>
          <t>Global Inv - Mar 2026</t>
        </is>
      </c>
      <c r="Z309" s="153" t="inlineStr">
        <is>
          <t>Relational database management system (RDBMS)</t>
        </is>
      </c>
      <c r="AA309" s="153" t="inlineStr">
        <is>
          <t>IT Operations</t>
        </is>
      </c>
      <c r="AB309" s="121">
        <f>VLOOKUP(AA309,CategorySummaryTable[],2,FALSE)</f>
        <v/>
      </c>
    </row>
    <row r="310" ht="64" customHeight="1" s="142">
      <c r="B310" s="90" t="inlineStr">
        <is>
          <t>Microsoft Visio</t>
        </is>
      </c>
      <c r="C310" s="75" t="inlineStr">
        <is>
          <t>Diagram/ Flowchart tool used by some employees</t>
        </is>
      </c>
      <c r="D310" s="75" t="inlineStr">
        <is>
          <t>Unknown</t>
        </is>
      </c>
      <c r="E310" s="75" t="inlineStr">
        <is>
          <t>Microsoft</t>
        </is>
      </c>
      <c r="F310" s="75" t="n"/>
      <c r="G310" s="75" t="inlineStr">
        <is>
          <t>Enterprise</t>
        </is>
      </c>
      <c r="H310" s="75" t="n"/>
      <c r="I310" s="75" t="inlineStr">
        <is>
          <t>Yes</t>
        </is>
      </c>
      <c r="J310" s="75" t="n"/>
      <c r="K310" s="75" t="inlineStr">
        <is>
          <t>Desktop</t>
        </is>
      </c>
      <c r="L310" s="75" t="n"/>
      <c r="M310" s="75" t="n"/>
      <c r="N310" s="75" t="n"/>
      <c r="O310" s="75" t="n"/>
      <c r="P310" s="75" t="n"/>
      <c r="Q310" s="75" t="inlineStr">
        <is>
          <t>NA</t>
        </is>
      </c>
      <c r="R310" s="75" t="n"/>
      <c r="S310" s="75" t="inlineStr">
        <is>
          <t>Michael Patterson</t>
        </is>
      </c>
      <c r="T310" s="76" t="n">
        <v>44516</v>
      </c>
      <c r="U310" s="75" t="inlineStr">
        <is>
          <t>via Michael Patterson</t>
        </is>
      </c>
      <c r="V310" s="76" t="n">
        <v>44516</v>
      </c>
      <c r="Y310" s="153" t="inlineStr">
        <is>
          <t>Global Inv - Mar 2026</t>
        </is>
      </c>
      <c r="Z310" s="153" t="inlineStr">
        <is>
          <t>Diagramming and flowcharting software</t>
        </is>
      </c>
      <c r="AA310" s="153" t="inlineStr">
        <is>
          <t>IT Operations</t>
        </is>
      </c>
      <c r="AB310" s="121">
        <f>VLOOKUP(AA310,CategorySummaryTable[],2,FALSE)</f>
        <v/>
      </c>
    </row>
    <row r="311" ht="64" customHeight="1" s="142">
      <c r="B311" s="90" t="inlineStr">
        <is>
          <t>Microsoft Visual Studio Professional</t>
        </is>
      </c>
      <c r="C311" s="75" t="inlineStr">
        <is>
          <t>Compiler for software that controls some devices</t>
        </is>
      </c>
      <c r="D311" s="75" t="inlineStr">
        <is>
          <t>Active</t>
        </is>
      </c>
      <c r="E311" s="75" t="inlineStr">
        <is>
          <t>Microsoft</t>
        </is>
      </c>
      <c r="F311" s="75" t="n"/>
      <c r="G311" s="75" t="n"/>
      <c r="H311" s="75" t="inlineStr">
        <is>
          <t>Billerica</t>
        </is>
      </c>
      <c r="I311" s="75" t="inlineStr">
        <is>
          <t>Yes</t>
        </is>
      </c>
      <c r="J311" s="75" t="n"/>
      <c r="K311" s="75" t="inlineStr">
        <is>
          <t>Desktop</t>
        </is>
      </c>
      <c r="L311" s="75" t="n"/>
      <c r="M311" s="75" t="n"/>
      <c r="N311" s="75" t="n"/>
      <c r="O311" s="75" t="n"/>
      <c r="P311" s="75" t="n"/>
      <c r="Q311" s="75" t="inlineStr">
        <is>
          <t>N/A</t>
        </is>
      </c>
      <c r="R311" s="75" t="n"/>
      <c r="S311" s="104" t="inlineStr">
        <is>
          <t>Gary Beckmann</t>
        </is>
      </c>
      <c r="T311" s="76" t="n">
        <v>44592</v>
      </c>
      <c r="U311" s="104" t="inlineStr">
        <is>
          <t>via Gary Beckmann</t>
        </is>
      </c>
      <c r="V311" s="76" t="n">
        <v>44592</v>
      </c>
      <c r="Y311" s="153" t="inlineStr">
        <is>
          <t>Global Inv - Mar 2026</t>
        </is>
      </c>
      <c r="Z311" s="153" t="inlineStr">
        <is>
          <t>Integrated development environment (IDE) for software development</t>
        </is>
      </c>
      <c r="AA311" s="153" t="inlineStr">
        <is>
          <t>IT Operations</t>
        </is>
      </c>
      <c r="AB311" s="121">
        <f>VLOOKUP(AA311,CategorySummaryTable[],2,FALSE)</f>
        <v/>
      </c>
    </row>
    <row r="312" ht="64" customHeight="1" s="142">
      <c r="B312" s="77" t="inlineStr">
        <is>
          <t>Microsoft VS Team Foundation Server</t>
        </is>
      </c>
      <c r="C312" s="75" t="n"/>
      <c r="D312" s="75" t="inlineStr">
        <is>
          <t>Unknown</t>
        </is>
      </c>
      <c r="E312" s="75" t="inlineStr">
        <is>
          <t>MIcrosoft</t>
        </is>
      </c>
      <c r="F312" s="75" t="n"/>
      <c r="G312" s="75" t="n"/>
      <c r="H312" s="75" t="inlineStr">
        <is>
          <t>Cincinnati</t>
        </is>
      </c>
      <c r="I312" s="75" t="inlineStr">
        <is>
          <t>Yes</t>
        </is>
      </c>
      <c r="J312" s="75" t="n"/>
      <c r="K312" s="75" t="inlineStr">
        <is>
          <t>On Premises (Client/Server)</t>
        </is>
      </c>
      <c r="L312" s="75" t="n"/>
      <c r="M312" s="75" t="n"/>
      <c r="N312" s="75" t="n"/>
      <c r="O312" s="75" t="n"/>
      <c r="P312" s="75" t="n"/>
      <c r="Q312" s="75" t="inlineStr">
        <is>
          <t>N</t>
        </is>
      </c>
      <c r="R312" s="75" t="n"/>
      <c r="S312" s="75" t="n"/>
      <c r="T312" s="76" t="n"/>
      <c r="U312" s="75" t="inlineStr">
        <is>
          <t>server?</t>
        </is>
      </c>
      <c r="V312" s="76" t="n"/>
      <c r="Y312" s="153" t="inlineStr">
        <is>
          <t>Global Inv - Mar 2026</t>
        </is>
      </c>
      <c r="Z312" s="153" t="inlineStr">
        <is>
          <t>Source control, build, and application lifecycle management server</t>
        </is>
      </c>
      <c r="AA312" s="153" t="inlineStr">
        <is>
          <t>IT Operations</t>
        </is>
      </c>
      <c r="AB312" s="121">
        <f>VLOOKUP(AA312,CategorySummaryTable[],2,FALSE)</f>
        <v/>
      </c>
    </row>
    <row r="313" ht="64" customHeight="1" s="142">
      <c r="B313" s="77" t="inlineStr">
        <is>
          <t>Microsoft XP Embedded Studio/Target Designer</t>
        </is>
      </c>
      <c r="C313" s="75" t="n"/>
      <c r="D313" s="75" t="inlineStr">
        <is>
          <t>Unknown</t>
        </is>
      </c>
      <c r="E313" s="75" t="inlineStr">
        <is>
          <t>Microsoft</t>
        </is>
      </c>
      <c r="F313" s="75" t="n"/>
      <c r="G313" s="75" t="n"/>
      <c r="H313" s="75" t="inlineStr">
        <is>
          <t>Billerica</t>
        </is>
      </c>
      <c r="I313" s="75" t="n"/>
      <c r="J313" s="75" t="n"/>
      <c r="K313" s="75" t="inlineStr">
        <is>
          <t>Desktop</t>
        </is>
      </c>
      <c r="L313" s="75" t="n"/>
      <c r="M313" s="75" t="n"/>
      <c r="N313" s="75" t="n"/>
      <c r="O313" s="75" t="n"/>
      <c r="P313" s="75" t="n"/>
      <c r="Q313" s="75" t="inlineStr">
        <is>
          <t>N</t>
        </is>
      </c>
      <c r="R313" s="75" t="n"/>
      <c r="S313" s="75" t="n"/>
      <c r="T313" s="76" t="n"/>
      <c r="U313" s="75" t="n"/>
      <c r="V313" s="76" t="n"/>
      <c r="Y313" s="153" t="inlineStr">
        <is>
          <t>Global Inv - Mar 2026</t>
        </is>
      </c>
      <c r="Z313" s="153" t="inlineStr">
        <is>
          <t>Tooling for building/configuring Windows XP Embedded OS images</t>
        </is>
      </c>
      <c r="AA313" s="153" t="inlineStr">
        <is>
          <t>IT Operations</t>
        </is>
      </c>
      <c r="AB313" s="121">
        <f>VLOOKUP(AA313,CategorySummaryTable[],2,FALSE)</f>
        <v/>
      </c>
    </row>
    <row r="314" ht="80" customHeight="1" s="142">
      <c r="B314" s="56" t="inlineStr">
        <is>
          <t>Millennium32</t>
        </is>
      </c>
      <c r="C314" s="75" t="n"/>
      <c r="D314" s="75" t="inlineStr">
        <is>
          <t>Unknown</t>
        </is>
      </c>
      <c r="E314" s="75" t="inlineStr">
        <is>
          <t>Waters + Millennium</t>
        </is>
      </c>
      <c r="F314" s="75" t="n"/>
      <c r="G314" s="75" t="n"/>
      <c r="H314" s="75" t="inlineStr">
        <is>
          <t>Plainsboro Corp</t>
        </is>
      </c>
      <c r="I314" s="75" t="n"/>
      <c r="J314" s="75" t="n"/>
      <c r="K314" s="75" t="inlineStr">
        <is>
          <t>Local</t>
        </is>
      </c>
      <c r="L314" s="75" t="n"/>
      <c r="M314" s="75" t="n"/>
      <c r="N314" s="75" t="n"/>
      <c r="O314" s="75" t="n"/>
      <c r="P314" s="75" t="n"/>
      <c r="Q314" s="75" t="inlineStr">
        <is>
          <t>Y</t>
        </is>
      </c>
      <c r="R314" s="75" t="n"/>
      <c r="S314" s="75" t="n"/>
      <c r="T314" s="76" t="n"/>
      <c r="U314" s="75" t="n"/>
      <c r="V314" s="76" t="n"/>
      <c r="Y314" s="153" t="inlineStr">
        <is>
          <t>Global Inv - Mar 2026</t>
        </is>
      </c>
      <c r="Z314" s="153" t="inlineStr">
        <is>
          <t>Chromatography data system (CDS) software for HPLC instruments</t>
        </is>
      </c>
      <c r="AA314" s="153" t="inlineStr">
        <is>
          <t>Clinical Manufacturing Process</t>
        </is>
      </c>
      <c r="AB314" s="121">
        <f>VLOOKUP(AA314,CategorySummaryTable[],2,FALSE)</f>
        <v/>
      </c>
    </row>
    <row r="315" ht="80" customHeight="1" s="142">
      <c r="B315" s="77" t="inlineStr">
        <is>
          <t>MindManager</t>
        </is>
      </c>
      <c r="C315" s="75" t="n"/>
      <c r="D315" s="75" t="inlineStr">
        <is>
          <t>Unknown</t>
        </is>
      </c>
      <c r="E315" s="75" t="inlineStr">
        <is>
          <t>MindJet</t>
        </is>
      </c>
      <c r="F315" s="75" t="n"/>
      <c r="G315" s="75" t="n"/>
      <c r="H315" s="75" t="inlineStr">
        <is>
          <t>Ratingen</t>
        </is>
      </c>
      <c r="I315" s="75" t="inlineStr">
        <is>
          <t>Yes</t>
        </is>
      </c>
      <c r="J315" s="75" t="n"/>
      <c r="K315" s="75" t="inlineStr">
        <is>
          <t>On Premises (Client/Server)</t>
        </is>
      </c>
      <c r="L315" s="75" t="n"/>
      <c r="M315" s="75" t="n"/>
      <c r="N315" s="75" t="n"/>
      <c r="O315" s="75" t="n"/>
      <c r="P315" s="75" t="n"/>
      <c r="Q315" s="75" t="inlineStr">
        <is>
          <t>N</t>
        </is>
      </c>
      <c r="R315" s="75" t="n"/>
      <c r="S315" s="75" t="n"/>
      <c r="T315" s="76" t="n"/>
      <c r="U315" s="75" t="n"/>
      <c r="V315" s="76" t="n"/>
      <c r="Y315" s="153" t="inlineStr">
        <is>
          <t>Global Inv - Mar 2026</t>
        </is>
      </c>
      <c r="Z315" s="153" t="inlineStr">
        <is>
          <t>Mind mapping and visual planning software</t>
        </is>
      </c>
      <c r="AA315" s="153" t="inlineStr">
        <is>
          <t>Enterprise Agility</t>
        </is>
      </c>
      <c r="AB315" s="121">
        <f>VLOOKUP(AA315,CategorySummaryTable[],2,FALSE)</f>
        <v/>
      </c>
    </row>
    <row r="316" ht="80" customHeight="1" s="142">
      <c r="B316" s="80" t="inlineStr">
        <is>
          <t>MindManager for Teams</t>
        </is>
      </c>
      <c r="C316" s="75" t="n"/>
      <c r="D316" s="75" t="inlineStr">
        <is>
          <t>Unknown</t>
        </is>
      </c>
      <c r="E316" s="75" t="n"/>
      <c r="F316" s="75" t="n"/>
      <c r="G316" s="75" t="n"/>
      <c r="H316" s="75" t="n"/>
      <c r="I316" s="75" t="n"/>
      <c r="J316" s="75" t="n"/>
      <c r="K316" s="75" t="n"/>
      <c r="L316" s="75" t="n"/>
      <c r="M316" s="75" t="n"/>
      <c r="N316" s="75" t="n"/>
      <c r="O316" s="75" t="n"/>
      <c r="P316" s="75" t="n"/>
      <c r="Q316" s="75" t="n"/>
      <c r="R316" s="75" t="n"/>
      <c r="S316" s="75" t="n"/>
      <c r="T316" s="76" t="n"/>
      <c r="U316" s="75" t="inlineStr">
        <is>
          <t>INC0750223</t>
        </is>
      </c>
      <c r="V316" s="76" t="n"/>
      <c r="Y316" s="153" t="inlineStr">
        <is>
          <t>Global Inv - Mar 2026</t>
        </is>
      </c>
      <c r="Z316" s="153" t="inlineStr">
        <is>
          <t>Mind mapping and visual planning software (team/collaborative edition)</t>
        </is>
      </c>
      <c r="AA316" s="153" t="inlineStr">
        <is>
          <t>Enterprise Agility</t>
        </is>
      </c>
      <c r="AB316" s="121">
        <f>VLOOKUP(AA316,CategorySummaryTable[],2,FALSE)</f>
        <v/>
      </c>
    </row>
    <row r="317" ht="80" customHeight="1" s="142">
      <c r="B317" s="80" t="inlineStr">
        <is>
          <t>Model-N</t>
        </is>
      </c>
      <c r="C317" s="75" t="inlineStr">
        <is>
          <t>SQL Server is used for Read Only Queries of Model N Data
on-prem reporting server</t>
        </is>
      </c>
      <c r="D317" s="75" t="inlineStr">
        <is>
          <t>Active</t>
        </is>
      </c>
      <c r="E317" s="75" t="n"/>
      <c r="F317" s="75" t="n"/>
      <c r="G317" s="75" t="inlineStr">
        <is>
          <t>Enterprise</t>
        </is>
      </c>
      <c r="H317" s="75" t="n"/>
      <c r="I317" s="75" t="inlineStr">
        <is>
          <t>Yes</t>
        </is>
      </c>
      <c r="J317" s="75" t="n"/>
      <c r="K317" s="75" t="n"/>
      <c r="L317" s="75" t="n"/>
      <c r="M317" s="75" t="n"/>
      <c r="N317" s="75" t="inlineStr">
        <is>
          <t>No</t>
        </is>
      </c>
      <c r="O317" s="75" t="n"/>
      <c r="P317" s="75" t="n"/>
      <c r="Q317" s="75" t="inlineStr">
        <is>
          <t>No</t>
        </is>
      </c>
      <c r="R317" s="75" t="n"/>
      <c r="S317" s="75" t="n"/>
      <c r="T317" s="76" t="n"/>
      <c r="U317" s="75" t="inlineStr">
        <is>
          <t>server?</t>
        </is>
      </c>
      <c r="V317" s="76" t="n"/>
      <c r="Y317" s="153" t="inlineStr">
        <is>
          <t>Global Inv - Mar 2026</t>
        </is>
      </c>
      <c r="Z317" s="153" t="inlineStr">
        <is>
          <t>Revenue management software (pricing, contracts, rebates)</t>
        </is>
      </c>
      <c r="AA317" s="153" t="inlineStr">
        <is>
          <t>Sales</t>
        </is>
      </c>
      <c r="AB317" s="121">
        <f>VLOOKUP(AA317,CategorySummaryTable[],2,FALSE)</f>
        <v/>
      </c>
    </row>
    <row r="318" ht="80" customHeight="1" s="142">
      <c r="B318" s="77" t="inlineStr">
        <is>
          <t>Monarch</t>
        </is>
      </c>
      <c r="C318" s="75" t="n"/>
      <c r="D318" s="75" t="inlineStr">
        <is>
          <t>Decommissioned</t>
        </is>
      </c>
      <c r="E318" s="75" t="inlineStr">
        <is>
          <t>Datawatch</t>
        </is>
      </c>
      <c r="F318" s="75" t="n"/>
      <c r="G318" s="75" t="n"/>
      <c r="H318" s="75" t="inlineStr">
        <is>
          <t>Dublin</t>
        </is>
      </c>
      <c r="I318" s="75" t="n"/>
      <c r="J318" s="75" t="n"/>
      <c r="K318" s="75" t="inlineStr">
        <is>
          <t>Desktop</t>
        </is>
      </c>
      <c r="L318" s="75" t="n"/>
      <c r="M318" s="75" t="n"/>
      <c r="N318" s="75" t="n"/>
      <c r="O318" s="75" t="n"/>
      <c r="P318" s="75" t="n"/>
      <c r="Q318" s="75" t="inlineStr">
        <is>
          <t>N</t>
        </is>
      </c>
      <c r="R318" s="75" t="n"/>
      <c r="S318" s="75" t="n"/>
      <c r="T318" s="76" t="n"/>
      <c r="U318" s="75" t="n"/>
      <c r="V318" s="76" t="n"/>
      <c r="Y318" s="153" t="inlineStr">
        <is>
          <t>Global Inv - Mar 2026</t>
        </is>
      </c>
      <c r="Z318" s="153" t="inlineStr">
        <is>
          <t>Data extraction and self-service data preparation/reporting software</t>
        </is>
      </c>
      <c r="AA318" s="153" t="inlineStr">
        <is>
          <t>Data and Analytics</t>
        </is>
      </c>
      <c r="AB318" s="121">
        <f>VLOOKUP(AA318,CategorySummaryTable[],2,FALSE)</f>
        <v/>
      </c>
    </row>
    <row r="319" ht="80" customHeight="1" s="142">
      <c r="B319" s="77" t="inlineStr">
        <is>
          <t>Monarch</t>
        </is>
      </c>
      <c r="C319" s="75" t="n"/>
      <c r="D319" s="75" t="inlineStr">
        <is>
          <t>Decommissioned</t>
        </is>
      </c>
      <c r="E319" s="75" t="inlineStr">
        <is>
          <t>Datawatch</t>
        </is>
      </c>
      <c r="F319" s="75" t="n"/>
      <c r="G319" s="75" t="n"/>
      <c r="H319" s="75" t="inlineStr">
        <is>
          <t>Cincinnati,Plainsboro, York</t>
        </is>
      </c>
      <c r="I319" s="75" t="n"/>
      <c r="J319" s="75" t="n"/>
      <c r="K319" s="75" t="inlineStr">
        <is>
          <t>Desktop</t>
        </is>
      </c>
      <c r="L319" s="75" t="n"/>
      <c r="M319" s="75" t="n"/>
      <c r="N319" s="75" t="n"/>
      <c r="O319" s="75" t="n"/>
      <c r="P319" s="75" t="n"/>
      <c r="Q319" s="75" t="inlineStr">
        <is>
          <t>N</t>
        </is>
      </c>
      <c r="R319" s="75" t="n"/>
      <c r="S319" s="75" t="n"/>
      <c r="T319" s="76" t="n"/>
      <c r="U319" s="75" t="n"/>
      <c r="V319" s="76" t="n"/>
      <c r="Y319" s="153" t="inlineStr">
        <is>
          <t>Global Inv - Mar 2026</t>
        </is>
      </c>
      <c r="Z319" s="153" t="inlineStr">
        <is>
          <t>Data extraction and self-service data preparation/reporting software</t>
        </is>
      </c>
      <c r="AA319" s="153" t="inlineStr">
        <is>
          <t>Data and Analytics</t>
        </is>
      </c>
      <c r="AB319" s="121">
        <f>VLOOKUP(AA319,CategorySummaryTable[],2,FALSE)</f>
        <v/>
      </c>
    </row>
    <row r="320" ht="80" customHeight="1" s="142">
      <c r="B320" s="92" t="inlineStr">
        <is>
          <t>Monarch License Server</t>
        </is>
      </c>
      <c r="C320" s="75" t="n"/>
      <c r="D320" s="75" t="inlineStr">
        <is>
          <t>Decommissioned</t>
        </is>
      </c>
      <c r="E320" s="75" t="inlineStr">
        <is>
          <t>Altair</t>
        </is>
      </c>
      <c r="F320" s="75" t="n"/>
      <c r="G320" s="75" t="n"/>
      <c r="H320" s="75" t="n"/>
      <c r="I320" s="75" t="inlineStr">
        <is>
          <t>Yes</t>
        </is>
      </c>
      <c r="J320" s="75" t="n"/>
      <c r="K320" s="75" t="n"/>
      <c r="L320" s="75" t="n"/>
      <c r="M320" s="75" t="n"/>
      <c r="N320" s="75" t="n"/>
      <c r="O320" s="75" t="n"/>
      <c r="P320" s="75" t="n"/>
      <c r="Q320" s="75" t="inlineStr">
        <is>
          <t>No</t>
        </is>
      </c>
      <c r="R320" s="75" t="n"/>
      <c r="S320" s="75" t="n"/>
      <c r="T320" s="76" t="n"/>
      <c r="U320" s="75" t="inlineStr">
        <is>
          <t>changed IS Owner. Server?</t>
        </is>
      </c>
      <c r="V320" s="76" t="n"/>
      <c r="Y320" s="153" t="inlineStr">
        <is>
          <t>Global Inv - Mar 2026</t>
        </is>
      </c>
      <c r="Z320" s="153" t="inlineStr">
        <is>
          <t>License server for data extraction/preparation software</t>
        </is>
      </c>
      <c r="AA320" s="153" t="inlineStr">
        <is>
          <t>Data and Analytics</t>
        </is>
      </c>
      <c r="AB320" s="121">
        <f>VLOOKUP(AA320,CategorySummaryTable[],2,FALSE)</f>
        <v/>
      </c>
    </row>
    <row r="321" ht="80" customHeight="1" s="142">
      <c r="B321" s="82" t="inlineStr">
        <is>
          <t>MoveMedical app</t>
        </is>
      </c>
      <c r="C321" s="75" t="inlineStr">
        <is>
          <t>some of that storage represents internal tables containing activity logs and other operational data.
3rd party app used by sales.</t>
        </is>
      </c>
      <c r="D321" s="75" t="inlineStr">
        <is>
          <t>Active</t>
        </is>
      </c>
      <c r="E321" s="75" t="inlineStr">
        <is>
          <t>MoveMedical</t>
        </is>
      </c>
      <c r="F321" s="75" t="n"/>
      <c r="G321" s="75" t="n"/>
      <c r="H321" s="75" t="inlineStr">
        <is>
          <t>US (field sales reps throughout the US).</t>
        </is>
      </c>
      <c r="I321" s="75" t="n"/>
      <c r="J321" s="75" t="inlineStr">
        <is>
          <t>AWS</t>
        </is>
      </c>
      <c r="K321" s="75" t="inlineStr">
        <is>
          <t>SaaS</t>
        </is>
      </c>
      <c r="L321" s="75" t="n"/>
      <c r="M321" s="75" t="n"/>
      <c r="N321" s="75" t="n"/>
      <c r="O321" s="75" t="n"/>
      <c r="P321" s="75" t="n"/>
      <c r="Q321" s="75" t="inlineStr">
        <is>
          <t>No</t>
        </is>
      </c>
      <c r="R321" s="75" t="n"/>
      <c r="S321" s="75" t="n"/>
      <c r="T321" s="76" t="n"/>
      <c r="U321" s="75" t="n"/>
      <c r="V321" s="76" t="n"/>
      <c r="Y321" s="153" t="inlineStr">
        <is>
          <t>Global Inv - Mar 2026</t>
        </is>
      </c>
      <c r="Z321" s="153" t="inlineStr">
        <is>
          <t>Consignment/field inventory management SaaS for medical device sales</t>
        </is>
      </c>
      <c r="AA321" s="153" t="inlineStr">
        <is>
          <t>Sales</t>
        </is>
      </c>
      <c r="AB321" s="121">
        <f>VLOOKUP(AA321,CategorySummaryTable[],2,FALSE)</f>
        <v/>
      </c>
    </row>
    <row r="322" ht="80" customHeight="1" s="142">
      <c r="B322" s="57" t="inlineStr">
        <is>
          <t>MoveMedical reporting</t>
        </is>
      </c>
      <c r="C322" s="75" t="inlineStr">
        <is>
          <t>From Vince: E302 MoveMedical app is our consignment inventory SaaS application. Because it lacks rich reporting UI, we built our own MoveMedical reporting app on Azure that pulls the MoveMedical into Azure SQL and run reporting with PowerBI.
Resource Library: https://integralife.sharepoint.com/sites/Azure/MoveMedical/Forms/AllItems.aspx</t>
        </is>
      </c>
      <c r="D322" s="75" t="inlineStr">
        <is>
          <t>Active</t>
        </is>
      </c>
      <c r="E322" s="75" t="inlineStr">
        <is>
          <t>Integra</t>
        </is>
      </c>
      <c r="F322" s="75" t="n"/>
      <c r="G322" s="75" t="n"/>
      <c r="H322" s="75" t="inlineStr">
        <is>
          <t>US</t>
        </is>
      </c>
      <c r="I322" s="75" t="n"/>
      <c r="J322" s="75" t="inlineStr">
        <is>
          <t>Azure</t>
        </is>
      </c>
      <c r="K322" s="75" t="inlineStr">
        <is>
          <t>Web</t>
        </is>
      </c>
      <c r="L322" s="75" t="n"/>
      <c r="M322" s="75" t="inlineStr">
        <is>
          <t>Yes</t>
        </is>
      </c>
      <c r="N322" s="75" t="n"/>
      <c r="O322" s="75" t="n"/>
      <c r="P322" s="75" t="inlineStr">
        <is>
          <t>T3?</t>
        </is>
      </c>
      <c r="Q322" s="75" t="inlineStr">
        <is>
          <t>Yes</t>
        </is>
      </c>
      <c r="R322" s="75" t="n">
        <v>4</v>
      </c>
      <c r="S322" s="75" t="inlineStr">
        <is>
          <t>Amit Singhal &amp; Vincent Lu</t>
        </is>
      </c>
      <c r="T322" s="76" t="n">
        <v>44664</v>
      </c>
      <c r="U322" s="75" t="inlineStr">
        <is>
          <t>April 4, 2022 via Amit Singhal &amp; April 13, 2022 via Vincent Lu</t>
        </is>
      </c>
      <c r="V322" s="76" t="n">
        <v>44664</v>
      </c>
      <c r="Y322" s="153" t="inlineStr">
        <is>
          <t>Global Inv - Mar 2026</t>
        </is>
      </c>
      <c r="Z322" s="153" t="inlineStr">
        <is>
          <t>NA</t>
        </is>
      </c>
      <c r="AA322" s="153" t="inlineStr">
        <is>
          <t>Sales</t>
        </is>
      </c>
      <c r="AB322" s="121">
        <f>VLOOKUP(AA322,CategorySummaryTable[],2,FALSE)</f>
        <v/>
      </c>
    </row>
    <row r="323" ht="80" customHeight="1" s="142">
      <c r="B323" s="77" t="inlineStr">
        <is>
          <t>MOVEX</t>
        </is>
      </c>
      <c r="C323" s="75" t="n"/>
      <c r="D323" s="75" t="inlineStr">
        <is>
          <t>Decommissioned</t>
        </is>
      </c>
      <c r="E323" s="75" t="inlineStr">
        <is>
          <t>MOVinfor</t>
        </is>
      </c>
      <c r="F323" s="75" t="n"/>
      <c r="G323" s="75" t="n"/>
      <c r="H323" s="75" t="inlineStr">
        <is>
          <t>Newdeal, Biot, Zaventem, Plan Les Ouates, ILS France Lyon, Andover UK, Ratingen DE</t>
        </is>
      </c>
      <c r="I323" s="75" t="inlineStr">
        <is>
          <t>Yes</t>
        </is>
      </c>
      <c r="J323" s="75" t="n"/>
      <c r="K323" s="75" t="inlineStr">
        <is>
          <t>On Premises (Client/Server)</t>
        </is>
      </c>
      <c r="L323" s="75" t="n"/>
      <c r="M323" s="75" t="n"/>
      <c r="N323" s="75" t="n"/>
      <c r="O323" s="75" t="n"/>
      <c r="P323" s="75" t="n"/>
      <c r="Q323" s="75" t="inlineStr">
        <is>
          <t>Y</t>
        </is>
      </c>
      <c r="R323" s="75" t="n"/>
      <c r="S323" s="75" t="n"/>
      <c r="T323" s="76" t="n"/>
      <c r="U323" s="75" t="n"/>
      <c r="V323" s="76" t="n"/>
      <c r="W323" s="64" t="inlineStr">
        <is>
          <t>(Data Retained for Compliance Purposes)</t>
        </is>
      </c>
      <c r="Y323" s="153" t="inlineStr">
        <is>
          <t>Global Inv - Mar 2026</t>
        </is>
      </c>
      <c r="Z323" s="153" t="inlineStr">
        <is>
          <t>Enterprise resource planning (ERP) software for manufacturing/distribution</t>
        </is>
      </c>
      <c r="AA323" s="153" t="inlineStr">
        <is>
          <t>Finance</t>
        </is>
      </c>
      <c r="AB323" s="121">
        <f>VLOOKUP(AA323,CategorySummaryTable[],2,FALSE)</f>
        <v/>
      </c>
    </row>
    <row r="324" ht="64" customHeight="1" s="142">
      <c r="B324" s="80" t="inlineStr">
        <is>
          <t>Mozilla Firefox</t>
        </is>
      </c>
      <c r="C324" s="75" t="inlineStr">
        <is>
          <t>Internet browser</t>
        </is>
      </c>
      <c r="D324" s="75" t="inlineStr">
        <is>
          <t>Unknown</t>
        </is>
      </c>
      <c r="E324" s="75" t="inlineStr">
        <is>
          <t>Mozilla</t>
        </is>
      </c>
      <c r="F324" s="75" t="n"/>
      <c r="G324" s="75" t="n"/>
      <c r="H324" s="75" t="n"/>
      <c r="I324" s="75" t="n"/>
      <c r="J324" s="75" t="inlineStr">
        <is>
          <t>Other</t>
        </is>
      </c>
      <c r="K324" s="75" t="n"/>
      <c r="L324" s="75" t="n"/>
      <c r="M324" s="75" t="n"/>
      <c r="N324" s="75" t="n"/>
      <c r="O324" s="75" t="n"/>
      <c r="P324" s="75" t="n"/>
      <c r="Q324" s="75" t="n"/>
      <c r="R324" s="75" t="n"/>
      <c r="S324" s="75" t="n"/>
      <c r="T324" s="76" t="n"/>
      <c r="U324" s="75" t="n"/>
      <c r="V324" s="76" t="n"/>
      <c r="Y324" s="153" t="inlineStr">
        <is>
          <t>Global Inv - Mar 2026</t>
        </is>
      </c>
      <c r="Z324" s="153" t="inlineStr">
        <is>
          <t>Web browser</t>
        </is>
      </c>
      <c r="AA324" s="153" t="inlineStr">
        <is>
          <t>IT Operations</t>
        </is>
      </c>
      <c r="AB324" s="121">
        <f>VLOOKUP(AA324,CategorySummaryTable[],2,FALSE)</f>
        <v/>
      </c>
    </row>
    <row r="325" ht="80" customHeight="1" s="142">
      <c r="B325" s="77" t="inlineStr">
        <is>
          <t>MP2</t>
        </is>
      </c>
      <c r="C325" s="75" t="n"/>
      <c r="D325" s="75" t="inlineStr">
        <is>
          <t>Unknown</t>
        </is>
      </c>
      <c r="E325" s="75" t="inlineStr">
        <is>
          <t>Datastream systems</t>
        </is>
      </c>
      <c r="F325" s="75" t="n"/>
      <c r="G325" s="75" t="n"/>
      <c r="H325" s="75" t="inlineStr">
        <is>
          <t>Biot, Billerica</t>
        </is>
      </c>
      <c r="I325" s="75" t="n"/>
      <c r="J325" s="75" t="n"/>
      <c r="K325" s="75" t="inlineStr">
        <is>
          <t>Desktop</t>
        </is>
      </c>
      <c r="L325" s="75" t="n"/>
      <c r="M325" s="75" t="n"/>
      <c r="N325" s="75" t="n"/>
      <c r="O325" s="75" t="n"/>
      <c r="P325" s="75" t="n"/>
      <c r="Q325" s="75" t="inlineStr">
        <is>
          <t>N</t>
        </is>
      </c>
      <c r="R325" s="75" t="n"/>
      <c r="S325" s="75" t="n"/>
      <c r="T325" s="76" t="n"/>
      <c r="U325" s="75" t="n"/>
      <c r="V325" s="76" t="n"/>
      <c r="Y325" s="153" t="inlineStr">
        <is>
          <t>Global Inv - Mar 2026</t>
        </is>
      </c>
      <c r="Z325" s="153" t="inlineStr">
        <is>
          <t>Computerized maintenance management system (CMMS) software</t>
        </is>
      </c>
      <c r="AA325" s="153" t="inlineStr">
        <is>
          <t>Manufacturing</t>
        </is>
      </c>
      <c r="AB325" s="121">
        <f>VLOOKUP(AA325,CategorySummaryTable[],2,FALSE)</f>
        <v/>
      </c>
    </row>
    <row r="326" ht="80" customHeight="1" s="142">
      <c r="B326" s="57" t="inlineStr">
        <is>
          <t>Multi DNC</t>
        </is>
      </c>
      <c r="C326" s="75" t="inlineStr">
        <is>
          <t>Manufacturing Software- Send/Receive MFG jobs to CNC machines</t>
        </is>
      </c>
      <c r="D326" s="75" t="inlineStr">
        <is>
          <t>Active</t>
        </is>
      </c>
      <c r="E326" s="75" t="inlineStr">
        <is>
          <t>Spectrum CNC
Xpert CNC Technologies, LLC.?</t>
        </is>
      </c>
      <c r="F326" s="75" t="n"/>
      <c r="G326" s="75" t="n"/>
      <c r="H326" s="75" t="inlineStr">
        <is>
          <t>Cincinnati</t>
        </is>
      </c>
      <c r="I326" s="75" t="inlineStr">
        <is>
          <t>Yes</t>
        </is>
      </c>
      <c r="J326" s="75" t="n"/>
      <c r="K326" s="75" t="inlineStr">
        <is>
          <t>Desktop</t>
        </is>
      </c>
      <c r="L326" s="75" t="n"/>
      <c r="M326" s="75" t="n"/>
      <c r="N326" s="75" t="n"/>
      <c r="O326" s="75" t="n"/>
      <c r="P326" s="75" t="n"/>
      <c r="Q326" s="75" t="inlineStr">
        <is>
          <t>No</t>
        </is>
      </c>
      <c r="R326" s="75" t="n"/>
      <c r="S326" s="75" t="inlineStr">
        <is>
          <t>Michael Patterson</t>
        </is>
      </c>
      <c r="T326" s="76" t="n">
        <v>44516</v>
      </c>
      <c r="U326" s="75" t="inlineStr">
        <is>
          <t>via Michael Patterson</t>
        </is>
      </c>
      <c r="V326" s="76" t="n">
        <v>44516</v>
      </c>
      <c r="Y326" s="153" t="inlineStr">
        <is>
          <t>Global Inv - Mar 2026</t>
        </is>
      </c>
      <c r="Z326" s="153" t="inlineStr">
        <is>
          <t>DNC software for sending/receiving programs to CNC machines</t>
        </is>
      </c>
      <c r="AA326" s="153" t="inlineStr">
        <is>
          <t>Manufacturing</t>
        </is>
      </c>
      <c r="AB326" s="121">
        <f>VLOOKUP(AA326,CategorySummaryTable[],2,FALSE)</f>
        <v/>
      </c>
    </row>
    <row r="327" ht="80" customHeight="1" s="142">
      <c r="B327" s="77" t="inlineStr">
        <is>
          <t>MultiVAC Biopatch</t>
        </is>
      </c>
      <c r="C327" s="75" t="n"/>
      <c r="D327" s="75" t="inlineStr">
        <is>
          <t>Unknown</t>
        </is>
      </c>
      <c r="E327" s="75" t="inlineStr">
        <is>
          <t>Multivac</t>
        </is>
      </c>
      <c r="F327" s="75" t="n"/>
      <c r="G327" s="75" t="n"/>
      <c r="H327" s="75" t="inlineStr">
        <is>
          <t>Puerto Rico</t>
        </is>
      </c>
      <c r="I327" s="75" t="inlineStr">
        <is>
          <t>Yes</t>
        </is>
      </c>
      <c r="J327" s="75" t="n"/>
      <c r="K327" s="75" t="n"/>
      <c r="L327" s="75" t="n"/>
      <c r="M327" s="75" t="n"/>
      <c r="N327" s="75" t="n"/>
      <c r="O327" s="75" t="n"/>
      <c r="P327" s="75" t="n"/>
      <c r="Q327" s="75" t="inlineStr">
        <is>
          <t>Y</t>
        </is>
      </c>
      <c r="R327" s="75" t="n"/>
      <c r="S327" s="75" t="n"/>
      <c r="T327" s="76" t="n"/>
      <c r="U327" s="75" t="n"/>
      <c r="V327" s="76" t="n"/>
      <c r="Y327" s="153" t="inlineStr">
        <is>
          <t>Global Inv - Mar 2026</t>
        </is>
      </c>
      <c r="Z327" s="153" t="inlineStr">
        <is>
          <t>Packaging machine control software (thermoforming/vacuum packaging)</t>
        </is>
      </c>
      <c r="AA327" s="153" t="inlineStr">
        <is>
          <t>Manufacturing</t>
        </is>
      </c>
      <c r="AB327" s="121">
        <f>VLOOKUP(AA327,CategorySummaryTable[],2,FALSE)</f>
        <v/>
      </c>
    </row>
    <row r="328" ht="64" customHeight="1" s="142">
      <c r="B328" s="77" t="inlineStr">
        <is>
          <t>Mutare Mirrored Messaging</t>
        </is>
      </c>
      <c r="C328" s="75" t="inlineStr">
        <is>
          <t>Voice Mail back-up/duplicated servers.</t>
        </is>
      </c>
      <c r="D328" s="75" t="inlineStr">
        <is>
          <t>Unknown</t>
        </is>
      </c>
      <c r="E328" s="75" t="n"/>
      <c r="F328" s="75" t="n"/>
      <c r="G328" s="75" t="n"/>
      <c r="H328" s="75" t="inlineStr">
        <is>
          <t>Americas - Canada and US</t>
        </is>
      </c>
      <c r="I328" s="75" t="n"/>
      <c r="J328" s="75" t="n"/>
      <c r="K328" s="75" t="n"/>
      <c r="L328" s="75" t="n"/>
      <c r="M328" s="75" t="n"/>
      <c r="N328" s="75" t="n"/>
      <c r="O328" s="75" t="n"/>
      <c r="P328" s="75" t="n"/>
      <c r="Q328" s="75" t="inlineStr">
        <is>
          <t>No</t>
        </is>
      </c>
      <c r="R328" s="75" t="n"/>
      <c r="S328" s="75" t="n"/>
      <c r="T328" s="76" t="n"/>
      <c r="U328" s="75" t="inlineStr">
        <is>
          <t>server?</t>
        </is>
      </c>
      <c r="V328" s="76" t="n"/>
      <c r="Y328" s="153" t="inlineStr">
        <is>
          <t>Global Inv - Mar 2026</t>
        </is>
      </c>
      <c r="Z328" s="153" t="inlineStr">
        <is>
          <t>Voicemail backup/mirroring and messaging software</t>
        </is>
      </c>
      <c r="AA328" s="153" t="inlineStr">
        <is>
          <t>IT Operations</t>
        </is>
      </c>
      <c r="AB328" s="121">
        <f>VLOOKUP(AA328,CategorySummaryTable[],2,FALSE)</f>
        <v/>
      </c>
    </row>
    <row r="329" ht="80" customHeight="1" s="142">
      <c r="B329" s="80" t="inlineStr">
        <is>
          <t>MVI Training</t>
        </is>
      </c>
      <c r="C329" s="75" t="inlineStr">
        <is>
          <t>Training tool (in German?)</t>
        </is>
      </c>
      <c r="D329" s="75" t="inlineStr">
        <is>
          <t>Unknown</t>
        </is>
      </c>
      <c r="E329" s="75" t="inlineStr">
        <is>
          <t>MVI Training</t>
        </is>
      </c>
      <c r="F329" s="75" t="n"/>
      <c r="G329" s="75" t="n"/>
      <c r="H329" s="75" t="inlineStr">
        <is>
          <t>Germany?</t>
        </is>
      </c>
      <c r="I329" s="75" t="n"/>
      <c r="J329" s="75" t="inlineStr">
        <is>
          <t>Other</t>
        </is>
      </c>
      <c r="K329" s="75" t="n"/>
      <c r="L329" s="75" t="n"/>
      <c r="M329" s="75" t="n"/>
      <c r="N329" s="75" t="n"/>
      <c r="O329" s="75" t="n"/>
      <c r="P329" s="75" t="n"/>
      <c r="Q329" s="75" t="n"/>
      <c r="R329" s="75" t="n"/>
      <c r="S329" s="75" t="n"/>
      <c r="T329" s="76" t="n"/>
      <c r="U329" s="75" t="n"/>
      <c r="V329" s="76" t="n"/>
      <c r="Y329" s="153" t="inlineStr">
        <is>
          <t>Global Inv - Mar 2026</t>
        </is>
      </c>
      <c r="Z329" s="153" t="inlineStr">
        <is>
          <t>NA</t>
        </is>
      </c>
      <c r="AA329" s="153" t="inlineStr">
        <is>
          <t>Human Resources and Talent</t>
        </is>
      </c>
      <c r="AB329" s="121">
        <f>VLOOKUP(AA329,CategorySummaryTable[],2,FALSE)</f>
        <v/>
      </c>
    </row>
    <row r="330" ht="80" customHeight="1" s="142">
      <c r="B330" s="105" t="inlineStr">
        <is>
          <t>Mysys</t>
        </is>
      </c>
      <c r="C330" s="84" t="inlineStr">
        <is>
          <t>No longer used but server it runs on is active for historical data</t>
        </is>
      </c>
      <c r="D330" s="84" t="inlineStr">
        <is>
          <t>Inactive (Data Retained for Compliance Purposes)</t>
        </is>
      </c>
      <c r="E330" s="84" t="inlineStr">
        <is>
          <t>Sage + Mysys</t>
        </is>
      </c>
      <c r="F330" s="75" t="n"/>
      <c r="G330" s="75" t="n"/>
      <c r="H330" s="84" t="inlineStr">
        <is>
          <t>Cincinnati-St. Paul</t>
        </is>
      </c>
      <c r="I330" s="84" t="n"/>
      <c r="J330" s="84" t="n"/>
      <c r="K330" s="84" t="inlineStr">
        <is>
          <t>On Premises (Client/Server)</t>
        </is>
      </c>
      <c r="L330" s="75" t="n"/>
      <c r="M330" s="84" t="n"/>
      <c r="N330" s="75" t="n"/>
      <c r="O330" s="75" t="n"/>
      <c r="P330" s="85" t="n"/>
      <c r="Q330" s="84" t="inlineStr">
        <is>
          <t>N</t>
        </is>
      </c>
      <c r="R330" s="84" t="n"/>
      <c r="S330" s="75" t="inlineStr">
        <is>
          <t>Michael Patterson</t>
        </is>
      </c>
      <c r="T330" s="76" t="n">
        <v>44516</v>
      </c>
      <c r="U330" s="75" t="inlineStr">
        <is>
          <t>Nov 16, 2021 via Michael Patterson. Also, server?</t>
        </is>
      </c>
      <c r="V330" s="76" t="n">
        <v>44516</v>
      </c>
      <c r="Y330" s="153" t="inlineStr">
        <is>
          <t>Global Inv - Mar 2026</t>
        </is>
      </c>
      <c r="Z330" s="153" t="inlineStr">
        <is>
          <t>Accounting/financial management software</t>
        </is>
      </c>
      <c r="AA330" s="153" t="inlineStr">
        <is>
          <t>Finance</t>
        </is>
      </c>
      <c r="AB330" s="121">
        <f>VLOOKUP(AA330,CategorySummaryTable[],2,FALSE)</f>
        <v/>
      </c>
    </row>
    <row r="331" ht="64" customHeight="1" s="142">
      <c r="B331" s="80" t="inlineStr">
        <is>
          <t>Nagios</t>
        </is>
      </c>
      <c r="C331" s="75" t="inlineStr">
        <is>
          <t>monitoring and alerting service for systems, networks and infrastructure</t>
        </is>
      </c>
      <c r="D331" s="75" t="inlineStr">
        <is>
          <t>Unknown</t>
        </is>
      </c>
      <c r="E331" s="75" t="inlineStr">
        <is>
          <t>Nagios</t>
        </is>
      </c>
      <c r="F331" s="75" t="n"/>
      <c r="G331" s="75" t="n"/>
      <c r="H331" s="75" t="n"/>
      <c r="I331" s="75" t="n"/>
      <c r="J331" s="75" t="inlineStr">
        <is>
          <t>Other</t>
        </is>
      </c>
      <c r="K331" s="75" t="n"/>
      <c r="L331" s="75" t="n"/>
      <c r="M331" s="75" t="n"/>
      <c r="N331" s="75" t="n"/>
      <c r="O331" s="75" t="n"/>
      <c r="P331" s="75" t="n"/>
      <c r="Q331" s="75" t="n"/>
      <c r="R331" s="75" t="n"/>
      <c r="S331" s="75" t="n"/>
      <c r="T331" s="76" t="n"/>
      <c r="U331" s="75" t="n"/>
      <c r="V331" s="76" t="n"/>
      <c r="Y331" s="153" t="inlineStr">
        <is>
          <t>Global Inv - Mar 2026</t>
        </is>
      </c>
      <c r="Z331" s="153" t="inlineStr">
        <is>
          <t>IT infrastructure and network monitoring and alerting software</t>
        </is>
      </c>
      <c r="AA331" s="153" t="inlineStr">
        <is>
          <t>IT Operations</t>
        </is>
      </c>
      <c r="AB331" s="121">
        <f>VLOOKUP(AA331,CategorySummaryTable[],2,FALSE)</f>
        <v/>
      </c>
    </row>
    <row r="332" ht="80" customHeight="1" s="142">
      <c r="B332" s="80" t="inlineStr">
        <is>
          <t>NAYACT</t>
        </is>
      </c>
      <c r="C332" s="87" t="inlineStr">
        <is>
          <t>French Sunshine Act solution</t>
        </is>
      </c>
      <c r="D332" s="87" t="inlineStr">
        <is>
          <t>Active</t>
        </is>
      </c>
      <c r="E332" s="88" t="n"/>
      <c r="F332" s="87" t="n"/>
      <c r="G332" s="88" t="n"/>
      <c r="H332" s="88" t="n"/>
      <c r="I332" s="88" t="n"/>
      <c r="J332" s="88" t="n"/>
      <c r="K332" s="88" t="n"/>
      <c r="L332" s="88" t="n"/>
      <c r="M332" s="88" t="n"/>
      <c r="N332" s="88" t="n"/>
      <c r="O332" s="88" t="n"/>
      <c r="P332" s="88" t="n"/>
      <c r="Q332" s="88" t="inlineStr">
        <is>
          <t>No</t>
        </is>
      </c>
      <c r="R332" s="88" t="n"/>
      <c r="S332" s="87" t="inlineStr">
        <is>
          <t>Kevin McParland</t>
        </is>
      </c>
      <c r="T332" s="89" t="n">
        <v>44693</v>
      </c>
      <c r="U332" s="87" t="n"/>
      <c r="V332" s="89" t="n"/>
      <c r="Y332" s="153" t="inlineStr">
        <is>
          <t>Global Inv - Mar 2026</t>
        </is>
      </c>
      <c r="Z332" s="153" t="inlineStr">
        <is>
          <t>Compliance reporting solution for the French Sunshine Act transparency rules</t>
        </is>
      </c>
      <c r="AA332" s="153" t="inlineStr">
        <is>
          <t>Compliance and Risk</t>
        </is>
      </c>
      <c r="AB332" s="121">
        <f>VLOOKUP(AA332,CategorySummaryTable[],2,FALSE)</f>
        <v/>
      </c>
    </row>
    <row r="333" ht="64" customHeight="1" s="142">
      <c r="B333" s="80" t="inlineStr">
        <is>
          <t>Ncomputing</t>
        </is>
      </c>
      <c r="C333" s="75" t="inlineStr">
        <is>
          <t>Desktop virtulization</t>
        </is>
      </c>
      <c r="D333" s="75" t="inlineStr">
        <is>
          <t>Unknown</t>
        </is>
      </c>
      <c r="E333" s="75" t="inlineStr">
        <is>
          <t>NComputing</t>
        </is>
      </c>
      <c r="F333" s="75" t="n"/>
      <c r="G333" s="75" t="n"/>
      <c r="H333" s="75" t="n"/>
      <c r="I333" s="75" t="n"/>
      <c r="J333" s="75" t="inlineStr">
        <is>
          <t>Other</t>
        </is>
      </c>
      <c r="K333" s="75" t="n"/>
      <c r="L333" s="75" t="n"/>
      <c r="M333" s="75" t="n"/>
      <c r="N333" s="75" t="n"/>
      <c r="O333" s="75" t="n"/>
      <c r="P333" s="75" t="n"/>
      <c r="Q333" s="75" t="n"/>
      <c r="R333" s="75" t="n"/>
      <c r="S333" s="75" t="n"/>
      <c r="T333" s="76" t="n"/>
      <c r="U333" s="75" t="n"/>
      <c r="V333" s="76" t="n"/>
      <c r="Y333" s="153" t="inlineStr">
        <is>
          <t>Global Inv - Mar 2026</t>
        </is>
      </c>
      <c r="Z333" s="153" t="inlineStr">
        <is>
          <t>Desktop virtualization software</t>
        </is>
      </c>
      <c r="AA333" s="153" t="inlineStr">
        <is>
          <t>IT Operations</t>
        </is>
      </c>
      <c r="AB333" s="121">
        <f>VLOOKUP(AA333,CategorySummaryTable[],2,FALSE)</f>
        <v/>
      </c>
    </row>
    <row r="334" ht="64" customHeight="1" s="142">
      <c r="B334" s="80" t="inlineStr">
        <is>
          <t>NDES server for SCEP deployment</t>
        </is>
      </c>
      <c r="C334" s="75" t="inlineStr">
        <is>
          <t>NDES Server for MDM enrollment. Used to issue mobile devices certificate.</t>
        </is>
      </c>
      <c r="D334" s="75" t="inlineStr">
        <is>
          <t>Unknown</t>
        </is>
      </c>
      <c r="E334" s="75" t="n"/>
      <c r="F334" s="75" t="n"/>
      <c r="G334" s="75" t="inlineStr">
        <is>
          <t>Enterprise</t>
        </is>
      </c>
      <c r="H334" s="75" t="n"/>
      <c r="I334" s="75" t="inlineStr">
        <is>
          <t>Yes</t>
        </is>
      </c>
      <c r="J334" s="75" t="n"/>
      <c r="K334" s="75" t="inlineStr">
        <is>
          <t>On Premises (Client/Server)</t>
        </is>
      </c>
      <c r="L334" s="75" t="n"/>
      <c r="M334" s="75" t="n"/>
      <c r="N334" s="75" t="n"/>
      <c r="O334" s="75" t="n"/>
      <c r="P334" s="75" t="n"/>
      <c r="Q334" s="75" t="inlineStr">
        <is>
          <t>No</t>
        </is>
      </c>
      <c r="R334" s="75" t="n"/>
      <c r="S334" s="75" t="n"/>
      <c r="T334" s="76" t="n"/>
      <c r="U334" s="75" t="inlineStr">
        <is>
          <t>server?</t>
        </is>
      </c>
      <c r="V334" s="76" t="n"/>
      <c r="Y334" s="153" t="inlineStr">
        <is>
          <t>Global Inv - Mar 2026</t>
        </is>
      </c>
      <c r="Z334" s="153" t="inlineStr">
        <is>
          <t>Network Device Enrollment Service for issuing device certificates (SCEP)</t>
        </is>
      </c>
      <c r="AA334" s="153" t="inlineStr">
        <is>
          <t>Cyber Security</t>
        </is>
      </c>
      <c r="AB334" s="121">
        <f>VLOOKUP(AA334,CategorySummaryTable[],2,FALSE)</f>
        <v/>
      </c>
    </row>
    <row r="335" ht="64" customHeight="1" s="142">
      <c r="B335" s="91" t="inlineStr">
        <is>
          <t>Nessus</t>
        </is>
      </c>
      <c r="C335" s="75" t="inlineStr">
        <is>
          <t>Internal vulnerability scanning</t>
        </is>
      </c>
      <c r="D335" s="75" t="inlineStr">
        <is>
          <t>Unknown</t>
        </is>
      </c>
      <c r="E335" s="75" t="inlineStr">
        <is>
          <t>Tenable</t>
        </is>
      </c>
      <c r="F335" s="75" t="n"/>
      <c r="G335" s="75" t="inlineStr">
        <is>
          <t>Enterprise</t>
        </is>
      </c>
      <c r="H335" s="75" t="n"/>
      <c r="I335" s="75" t="inlineStr">
        <is>
          <t>Yes</t>
        </is>
      </c>
      <c r="J335" s="75" t="n"/>
      <c r="K335" s="75" t="inlineStr">
        <is>
          <t>On Premises (Client/Server)</t>
        </is>
      </c>
      <c r="L335" s="75" t="n"/>
      <c r="M335" s="75" t="n"/>
      <c r="N335" s="75" t="n"/>
      <c r="O335" s="75" t="n"/>
      <c r="P335" s="75" t="n"/>
      <c r="Q335" s="75" t="inlineStr">
        <is>
          <t>No</t>
        </is>
      </c>
      <c r="R335" s="75" t="n"/>
      <c r="S335" s="75" t="inlineStr">
        <is>
          <t>Matthew Cerny</t>
        </is>
      </c>
      <c r="T335" s="76" t="n">
        <v>44518</v>
      </c>
      <c r="U335" s="75" t="inlineStr">
        <is>
          <t>Nov 18, 2021 via Matthew Cerny</t>
        </is>
      </c>
      <c r="V335" s="76" t="n">
        <v>44518</v>
      </c>
      <c r="Y335" s="153" t="inlineStr">
        <is>
          <t>Global Inv - Mar 2026</t>
        </is>
      </c>
      <c r="Z335" s="153" t="inlineStr">
        <is>
          <t>Network and system vulnerability scanning software</t>
        </is>
      </c>
      <c r="AA335" s="153" t="inlineStr">
        <is>
          <t>Cyber Security</t>
        </is>
      </c>
      <c r="AB335" s="121">
        <f>VLOOKUP(AA335,CategorySummaryTable[],2,FALSE)</f>
        <v/>
      </c>
    </row>
    <row r="336" ht="64" customHeight="1" s="142">
      <c r="B336" s="80" t="inlineStr">
        <is>
          <t>Netsuite</t>
        </is>
      </c>
      <c r="C336" s="75" t="inlineStr">
        <is>
          <t>manage business finances, operations, and customer relations</t>
        </is>
      </c>
      <c r="D336" s="75" t="inlineStr">
        <is>
          <t>Unknown</t>
        </is>
      </c>
      <c r="E336" s="75" t="inlineStr">
        <is>
          <t>Oracle</t>
        </is>
      </c>
      <c r="F336" s="75" t="n"/>
      <c r="G336" s="75" t="n"/>
      <c r="H336" s="75" t="n"/>
      <c r="I336" s="75" t="n"/>
      <c r="J336" s="75" t="inlineStr">
        <is>
          <t>Other</t>
        </is>
      </c>
      <c r="K336" s="75" t="n"/>
      <c r="L336" s="75" t="n"/>
      <c r="M336" s="75" t="n"/>
      <c r="N336" s="75" t="n"/>
      <c r="O336" s="75" t="n"/>
      <c r="P336" s="75" t="n"/>
      <c r="Q336" s="75" t="n"/>
      <c r="R336" s="75" t="n"/>
      <c r="S336" s="75" t="n"/>
      <c r="T336" s="76" t="n"/>
      <c r="U336" s="75" t="n"/>
      <c r="V336" s="76" t="n"/>
      <c r="Y336" s="153" t="inlineStr">
        <is>
          <t>Global Inv - Mar 2026</t>
        </is>
      </c>
      <c r="Z336" s="153" t="inlineStr">
        <is>
          <t>Cloud ERP suite for finance, operations, and CRM</t>
        </is>
      </c>
      <c r="AA336" s="153" t="inlineStr">
        <is>
          <t>IT Operations</t>
        </is>
      </c>
      <c r="AB336" s="121">
        <f>VLOOKUP(AA336,CategorySummaryTable[],2,FALSE)</f>
        <v/>
      </c>
    </row>
    <row r="337" ht="64" customHeight="1" s="142">
      <c r="B337" s="80" t="inlineStr">
        <is>
          <t>Network Policy Server</t>
        </is>
      </c>
      <c r="C337" s="75" t="inlineStr">
        <is>
          <t>RADIUS Server for MFA Authentication (Citrix, Palo Alto)</t>
        </is>
      </c>
      <c r="D337" s="75" t="inlineStr">
        <is>
          <t>Unknown</t>
        </is>
      </c>
      <c r="E337" s="75" t="n"/>
      <c r="F337" s="75" t="n"/>
      <c r="G337" s="75" t="inlineStr">
        <is>
          <t>Enterprise</t>
        </is>
      </c>
      <c r="H337" s="75" t="n"/>
      <c r="I337" s="75" t="inlineStr">
        <is>
          <t>Yes</t>
        </is>
      </c>
      <c r="J337" s="75" t="n"/>
      <c r="K337" s="75" t="inlineStr">
        <is>
          <t>On Premises (Client/Server)</t>
        </is>
      </c>
      <c r="L337" s="75" t="n"/>
      <c r="M337" s="75" t="n"/>
      <c r="N337" s="75" t="n"/>
      <c r="O337" s="75" t="n"/>
      <c r="P337" s="75" t="n"/>
      <c r="Q337" s="75" t="inlineStr">
        <is>
          <t>No</t>
        </is>
      </c>
      <c r="R337" s="75" t="n"/>
      <c r="S337" s="75" t="n"/>
      <c r="T337" s="76" t="n"/>
      <c r="U337" s="75" t="inlineStr">
        <is>
          <t>server?</t>
        </is>
      </c>
      <c r="V337" s="76" t="n"/>
      <c r="Y337" s="153" t="inlineStr">
        <is>
          <t>Global Inv - Mar 2026</t>
        </is>
      </c>
      <c r="Z337" s="153" t="inlineStr">
        <is>
          <t>RADIUS server for network authentication (MFA)</t>
        </is>
      </c>
      <c r="AA337" s="153" t="inlineStr">
        <is>
          <t>Cyber Security</t>
        </is>
      </c>
      <c r="AB337" s="121">
        <f>VLOOKUP(AA337,CategorySummaryTable[],2,FALSE)</f>
        <v/>
      </c>
    </row>
    <row r="338" ht="80" customHeight="1" s="142">
      <c r="B338" s="77" t="inlineStr">
        <is>
          <t>NEWMAINT</t>
        </is>
      </c>
      <c r="C338" s="75" t="n"/>
      <c r="D338" s="75" t="inlineStr">
        <is>
          <t>Unknown</t>
        </is>
      </c>
      <c r="E338" s="75" t="inlineStr">
        <is>
          <t>Newmaint</t>
        </is>
      </c>
      <c r="F338" s="75" t="n"/>
      <c r="G338" s="75" t="n"/>
      <c r="H338" s="75" t="inlineStr">
        <is>
          <t>BIOT</t>
        </is>
      </c>
      <c r="I338" s="75" t="inlineStr">
        <is>
          <t>Yes</t>
        </is>
      </c>
      <c r="J338" s="75" t="n"/>
      <c r="K338" s="75" t="inlineStr">
        <is>
          <t>On Premises (Client/Server)</t>
        </is>
      </c>
      <c r="L338" s="75" t="n"/>
      <c r="M338" s="75" t="n"/>
      <c r="N338" s="75" t="n"/>
      <c r="O338" s="75" t="n"/>
      <c r="P338" s="75" t="n"/>
      <c r="Q338" s="75" t="inlineStr">
        <is>
          <t>N</t>
        </is>
      </c>
      <c r="R338" s="75" t="n"/>
      <c r="S338" s="75" t="n"/>
      <c r="T338" s="76" t="n"/>
      <c r="U338" s="75" t="n"/>
      <c r="V338" s="76" t="n"/>
      <c r="Y338" s="153" t="inlineStr">
        <is>
          <t>Global Inv - Mar 2026</t>
        </is>
      </c>
      <c r="Z338" s="153" t="inlineStr">
        <is>
          <t>NA</t>
        </is>
      </c>
      <c r="AA338" s="153" t="inlineStr">
        <is>
          <t>Manufacturing</t>
        </is>
      </c>
      <c r="AB338" s="121">
        <f>VLOOKUP(AA338,CategorySummaryTable[],2,FALSE)</f>
        <v/>
      </c>
    </row>
    <row r="339" ht="80" customHeight="1" s="142">
      <c r="B339" s="56" t="inlineStr">
        <is>
          <t>NiceLabel</t>
        </is>
      </c>
      <c r="C339" s="75" t="n"/>
      <c r="D339" s="75" t="inlineStr">
        <is>
          <t>Unknown</t>
        </is>
      </c>
      <c r="E339" s="75" t="inlineStr">
        <is>
          <t>NiceLabel</t>
        </is>
      </c>
      <c r="F339" s="75" t="n"/>
      <c r="G339" s="75" t="n"/>
      <c r="H339" s="75" t="inlineStr">
        <is>
          <t>Billerica</t>
        </is>
      </c>
      <c r="I339" s="75" t="n"/>
      <c r="J339" s="75" t="n"/>
      <c r="K339" s="75" t="inlineStr">
        <is>
          <t>Desktop</t>
        </is>
      </c>
      <c r="L339" s="75" t="n"/>
      <c r="M339" s="75" t="n"/>
      <c r="N339" s="75" t="n"/>
      <c r="O339" s="75" t="n"/>
      <c r="P339" s="75" t="n"/>
      <c r="Q339" s="75" t="inlineStr">
        <is>
          <t>Y</t>
        </is>
      </c>
      <c r="R339" s="75" t="n"/>
      <c r="S339" s="75" t="n"/>
      <c r="T339" s="76" t="n"/>
      <c r="U339" s="75" t="n"/>
      <c r="V339" s="76" t="n"/>
      <c r="Y339" s="153" t="inlineStr">
        <is>
          <t>Global Inv - Mar 2026</t>
        </is>
      </c>
      <c r="Z339" s="153" t="inlineStr">
        <is>
          <t>Barcode and label design/printing software</t>
        </is>
      </c>
      <c r="AA339" s="153" t="inlineStr">
        <is>
          <t>Manufacturing</t>
        </is>
      </c>
      <c r="AB339" s="121">
        <f>VLOOKUP(AA339,CategorySummaryTable[],2,FALSE)</f>
        <v/>
      </c>
    </row>
    <row r="340" ht="80" customHeight="1" s="142">
      <c r="B340" s="77" t="inlineStr">
        <is>
          <t>Nikon Comparator</t>
        </is>
      </c>
      <c r="C340" s="75" t="inlineStr">
        <is>
          <t>Compliance Comment 5.12.2022: Validation work done however it was never implemented due to a recall.</t>
        </is>
      </c>
      <c r="D340" s="75" t="inlineStr">
        <is>
          <t>Not Started</t>
        </is>
      </c>
      <c r="E340" s="75" t="inlineStr">
        <is>
          <t>Nikon</t>
        </is>
      </c>
      <c r="F340" s="75" t="n"/>
      <c r="G340" s="75" t="n"/>
      <c r="H340" s="75" t="inlineStr">
        <is>
          <t>Puerto Rico</t>
        </is>
      </c>
      <c r="I340" s="75" t="n"/>
      <c r="J340" s="75" t="n"/>
      <c r="K340" s="75" t="inlineStr">
        <is>
          <t>Desktop</t>
        </is>
      </c>
      <c r="L340" s="75" t="n"/>
      <c r="M340" s="75" t="n"/>
      <c r="N340" s="75" t="n"/>
      <c r="O340" s="75" t="n"/>
      <c r="P340" s="75" t="n"/>
      <c r="Q340" s="75" t="inlineStr">
        <is>
          <t>N</t>
        </is>
      </c>
      <c r="R340" s="75" t="n"/>
      <c r="S340" s="75" t="n"/>
      <c r="T340" s="76" t="n"/>
      <c r="U340" s="75" t="n"/>
      <c r="V340" s="76" t="n"/>
      <c r="Y340" s="153" t="inlineStr">
        <is>
          <t>Global Inv - Mar 2026</t>
        </is>
      </c>
      <c r="Z340" s="153" t="inlineStr">
        <is>
          <t>Measurement/inspection software for optical comparators</t>
        </is>
      </c>
      <c r="AA340" s="153" t="inlineStr">
        <is>
          <t>Clinical Manufacturing Process</t>
        </is>
      </c>
      <c r="AB340" s="121">
        <f>VLOOKUP(AA340,CategorySummaryTable[],2,FALSE)</f>
        <v/>
      </c>
    </row>
    <row r="341" ht="64" customHeight="1" s="142">
      <c r="B341" s="80" t="inlineStr">
        <is>
          <t>Numara</t>
        </is>
      </c>
      <c r="C341" s="75" t="inlineStr">
        <is>
          <t>IT service/asset management portfolio</t>
        </is>
      </c>
      <c r="D341" s="75" t="inlineStr">
        <is>
          <t>Unknown</t>
        </is>
      </c>
      <c r="E341" s="75" t="inlineStr">
        <is>
          <t>Numara Software</t>
        </is>
      </c>
      <c r="F341" s="75" t="n"/>
      <c r="G341" s="75" t="n"/>
      <c r="H341" s="75" t="n"/>
      <c r="I341" s="75" t="n"/>
      <c r="J341" s="75" t="inlineStr">
        <is>
          <t>Other</t>
        </is>
      </c>
      <c r="K341" s="75" t="n"/>
      <c r="L341" s="75" t="n"/>
      <c r="M341" s="75" t="n"/>
      <c r="N341" s="75" t="n"/>
      <c r="O341" s="75" t="n"/>
      <c r="P341" s="75" t="n"/>
      <c r="Q341" s="75" t="n"/>
      <c r="R341" s="75" t="n"/>
      <c r="S341" s="75" t="n"/>
      <c r="T341" s="76" t="n"/>
      <c r="U341" s="75" t="n"/>
      <c r="V341" s="76" t="n"/>
      <c r="Y341" s="153" t="inlineStr">
        <is>
          <t>Global Inv - Mar 2026</t>
        </is>
      </c>
      <c r="Z341" s="153" t="inlineStr">
        <is>
          <t>IT help desk, service, and asset management software</t>
        </is>
      </c>
      <c r="AA341" s="153" t="inlineStr">
        <is>
          <t>IT Operations</t>
        </is>
      </c>
      <c r="AB341" s="121">
        <f>VLOOKUP(AA341,CategorySummaryTable[],2,FALSE)</f>
        <v/>
      </c>
    </row>
    <row r="342" ht="80" customHeight="1" s="142">
      <c r="B342" s="77" t="inlineStr">
        <is>
          <t>OBIEE</t>
        </is>
      </c>
      <c r="C342" s="75" t="n"/>
      <c r="D342" s="75" t="inlineStr">
        <is>
          <t>Decommissioned</t>
        </is>
      </c>
      <c r="E342" s="75" t="inlineStr">
        <is>
          <t>IBM</t>
        </is>
      </c>
      <c r="F342" s="75" t="n"/>
      <c r="G342" s="75" t="n"/>
      <c r="H342" s="75" t="inlineStr">
        <is>
          <t>Plainsboro Corp</t>
        </is>
      </c>
      <c r="I342" s="75" t="inlineStr">
        <is>
          <t>Yes</t>
        </is>
      </c>
      <c r="J342" s="75" t="n"/>
      <c r="K342" s="75" t="inlineStr">
        <is>
          <t>On Premises (Client/Server)</t>
        </is>
      </c>
      <c r="L342" s="75" t="n"/>
      <c r="M342" s="75" t="n"/>
      <c r="N342" s="75" t="n"/>
      <c r="O342" s="75" t="n"/>
      <c r="P342" s="75" t="n"/>
      <c r="Q342" s="75" t="inlineStr">
        <is>
          <t>N</t>
        </is>
      </c>
      <c r="R342" s="75" t="n"/>
      <c r="S342" s="75" t="n"/>
      <c r="T342" s="76" t="n"/>
      <c r="U342" s="75" t="n"/>
      <c r="V342" s="76" t="n"/>
      <c r="Y342" s="153" t="inlineStr">
        <is>
          <t>Global Inv - Mar 2026</t>
        </is>
      </c>
      <c r="Z342" s="153" t="inlineStr">
        <is>
          <t>Business intelligence and analytics/reporting platform</t>
        </is>
      </c>
      <c r="AA342" s="153" t="inlineStr">
        <is>
          <t>Data and Analytics</t>
        </is>
      </c>
      <c r="AB342" s="121">
        <f>VLOOKUP(AA342,CategorySummaryTable[],2,FALSE)</f>
        <v/>
      </c>
    </row>
    <row r="343" ht="80" customHeight="1" s="142">
      <c r="B343" s="80" t="inlineStr">
        <is>
          <t>Observer</t>
        </is>
      </c>
      <c r="C343" s="75" t="inlineStr">
        <is>
          <t>light scattering instrumentation and software for process monitoring and control</t>
        </is>
      </c>
      <c r="D343" s="75" t="inlineStr">
        <is>
          <t>Unknown</t>
        </is>
      </c>
      <c r="E343" s="75" t="inlineStr">
        <is>
          <t>Wyatt Technology</t>
        </is>
      </c>
      <c r="F343" s="75" t="n"/>
      <c r="G343" s="75" t="n"/>
      <c r="H343" s="75" t="n"/>
      <c r="I343" s="75" t="n"/>
      <c r="J343" s="75" t="n"/>
      <c r="K343" s="75" t="n"/>
      <c r="L343" s="75" t="n"/>
      <c r="M343" s="75" t="n"/>
      <c r="N343" s="75" t="n"/>
      <c r="O343" s="75" t="n"/>
      <c r="P343" s="75" t="n"/>
      <c r="Q343" s="75" t="n"/>
      <c r="R343" s="75" t="n"/>
      <c r="S343" s="75" t="n"/>
      <c r="T343" s="76" t="n"/>
      <c r="U343" s="75" t="n"/>
      <c r="V343" s="76" t="n"/>
      <c r="Y343" s="153" t="inlineStr">
        <is>
          <t>Global Inv - Mar 2026</t>
        </is>
      </c>
      <c r="Z343" s="153" t="inlineStr">
        <is>
          <t>Real-time light scattering process monitoring and control software</t>
        </is>
      </c>
      <c r="AA343" s="153" t="inlineStr">
        <is>
          <t>Clinical Manufacturing Process</t>
        </is>
      </c>
      <c r="AB343" s="121">
        <f>VLOOKUP(AA343,CategorySummaryTable[],2,FALSE)</f>
        <v/>
      </c>
    </row>
    <row r="344" ht="64" customHeight="1" s="142">
      <c r="B344" s="77" t="inlineStr">
        <is>
          <t>Office Suite</t>
        </is>
      </c>
      <c r="C344" s="75" t="inlineStr">
        <is>
          <t>Marked for deletetion</t>
        </is>
      </c>
      <c r="D344" s="75" t="inlineStr">
        <is>
          <t>Survey Complete</t>
        </is>
      </c>
      <c r="E344" s="75" t="inlineStr">
        <is>
          <t>Microsoft</t>
        </is>
      </c>
      <c r="F344" s="75" t="n"/>
      <c r="G344" s="75" t="inlineStr">
        <is>
          <t>Enterprise</t>
        </is>
      </c>
      <c r="H344" s="75" t="n"/>
      <c r="I344" s="75" t="n"/>
      <c r="J344" s="75" t="n"/>
      <c r="K344" s="75" t="inlineStr">
        <is>
          <t>Desktop</t>
        </is>
      </c>
      <c r="L344" s="75" t="n"/>
      <c r="M344" s="75" t="n"/>
      <c r="N344" s="75" t="n"/>
      <c r="O344" s="75" t="n"/>
      <c r="P344" s="75" t="n"/>
      <c r="Q344" s="75" t="inlineStr">
        <is>
          <t>N</t>
        </is>
      </c>
      <c r="R344" s="75" t="n"/>
      <c r="S344" s="75" t="n"/>
      <c r="T344" s="76" t="n"/>
      <c r="U344" s="75" t="n"/>
      <c r="V344" s="76" t="n"/>
      <c r="Y344" s="153" t="inlineStr">
        <is>
          <t>Global Inv - Mar 2026</t>
        </is>
      </c>
      <c r="Z344" s="153" t="inlineStr">
        <is>
          <t>Office productivity suite (word processing, spreadsheets, etc.)</t>
        </is>
      </c>
      <c r="AA344" s="153" t="inlineStr">
        <is>
          <t>IT Operations</t>
        </is>
      </c>
      <c r="AB344" s="121">
        <f>VLOOKUP(AA344,CategorySummaryTable[],2,FALSE)</f>
        <v/>
      </c>
    </row>
    <row r="345" ht="80" customHeight="1" s="142">
      <c r="B345" s="80" t="inlineStr">
        <is>
          <t>Office TimeSheet</t>
        </is>
      </c>
      <c r="C345" s="75" t="n"/>
      <c r="D345" s="75" t="inlineStr">
        <is>
          <t>Decommissioned</t>
        </is>
      </c>
      <c r="E345" s="75" t="n"/>
      <c r="F345" s="75" t="n"/>
      <c r="G345" s="75" t="inlineStr">
        <is>
          <t>Enterprise</t>
        </is>
      </c>
      <c r="H345" s="75" t="n"/>
      <c r="I345" s="75" t="inlineStr">
        <is>
          <t>Yes</t>
        </is>
      </c>
      <c r="J345" s="75" t="n"/>
      <c r="K345" s="75" t="n"/>
      <c r="L345" s="75" t="n"/>
      <c r="M345" s="75" t="n"/>
      <c r="N345" s="75" t="n"/>
      <c r="O345" s="75" t="n"/>
      <c r="P345" s="75" t="n"/>
      <c r="Q345" s="75" t="inlineStr">
        <is>
          <t>No</t>
        </is>
      </c>
      <c r="R345" s="75" t="n"/>
      <c r="S345" s="75" t="n"/>
      <c r="T345" s="76" t="n"/>
      <c r="U345" s="75" t="inlineStr">
        <is>
          <t>Check with Radhika</t>
        </is>
      </c>
      <c r="V345" s="76" t="n"/>
      <c r="W345" s="71" t="inlineStr">
        <is>
          <t>Contract stopped when we moved to OnePlan</t>
        </is>
      </c>
      <c r="Y345" s="153" t="inlineStr">
        <is>
          <t>Global Inv - Mar 2026</t>
        </is>
      </c>
      <c r="Z345" s="153" t="inlineStr">
        <is>
          <t>Time tracking / timesheet software</t>
        </is>
      </c>
      <c r="AA345" s="153" t="inlineStr">
        <is>
          <t>Human Resources and Talent</t>
        </is>
      </c>
      <c r="AB345" s="121">
        <f>VLOOKUP(AA345,CategorySummaryTable[],2,FALSE)</f>
        <v/>
      </c>
    </row>
    <row r="346" ht="80" customHeight="1" s="142">
      <c r="B346" s="77" t="inlineStr">
        <is>
          <t>Office Timesheet</t>
        </is>
      </c>
      <c r="C346" s="75" t="n"/>
      <c r="D346" s="75" t="inlineStr">
        <is>
          <t>Survey Complete</t>
        </is>
      </c>
      <c r="E346" s="75" t="inlineStr">
        <is>
          <t>Lookout Software, LLC</t>
        </is>
      </c>
      <c r="F346" s="75" t="n"/>
      <c r="G346" s="75" t="n"/>
      <c r="H346" s="75" t="inlineStr">
        <is>
          <t>Lyon, Plainsboro Corp</t>
        </is>
      </c>
      <c r="I346" s="75" t="inlineStr">
        <is>
          <t>Yes</t>
        </is>
      </c>
      <c r="J346" s="75" t="n"/>
      <c r="K346" s="75" t="inlineStr">
        <is>
          <t>SaaS</t>
        </is>
      </c>
      <c r="L346" s="75" t="n"/>
      <c r="M346" s="75" t="n"/>
      <c r="N346" s="75" t="n"/>
      <c r="O346" s="75" t="n"/>
      <c r="P346" s="75" t="n"/>
      <c r="Q346" s="75" t="inlineStr">
        <is>
          <t>N</t>
        </is>
      </c>
      <c r="R346" s="75" t="n"/>
      <c r="S346" s="75" t="n"/>
      <c r="T346" s="76" t="n"/>
      <c r="U346" s="75" t="n"/>
      <c r="V346" s="76" t="n"/>
      <c r="Y346" s="153" t="inlineStr">
        <is>
          <t>Global Inv - Mar 2026</t>
        </is>
      </c>
      <c r="Z346" s="153" t="inlineStr">
        <is>
          <t>Time tracking / timesheet software</t>
        </is>
      </c>
      <c r="AA346" s="153" t="inlineStr">
        <is>
          <t>Human Resources and Talent</t>
        </is>
      </c>
      <c r="AB346" s="121">
        <f>VLOOKUP(AA346,CategorySummaryTable[],2,FALSE)</f>
        <v/>
      </c>
    </row>
    <row r="347" ht="80" customHeight="1" s="142">
      <c r="B347" s="56" t="inlineStr">
        <is>
          <t>OMNIC</t>
        </is>
      </c>
      <c r="C347" s="75" t="n"/>
      <c r="D347" s="75" t="inlineStr">
        <is>
          <t>Unknown</t>
        </is>
      </c>
      <c r="E347" s="75" t="inlineStr">
        <is>
          <t>Thermo Fisher Scientific</t>
        </is>
      </c>
      <c r="F347" s="75" t="n"/>
      <c r="G347" s="75" t="n"/>
      <c r="H347" s="75" t="inlineStr">
        <is>
          <t>Puerto Rico</t>
        </is>
      </c>
      <c r="I347" s="75" t="n"/>
      <c r="J347" s="75" t="n"/>
      <c r="K347" s="75" t="inlineStr">
        <is>
          <t>Desktop</t>
        </is>
      </c>
      <c r="L347" s="75" t="n"/>
      <c r="M347" s="75" t="n"/>
      <c r="N347" s="75" t="n"/>
      <c r="O347" s="75" t="n"/>
      <c r="P347" s="75" t="n"/>
      <c r="Q347" s="75" t="inlineStr">
        <is>
          <t>Y</t>
        </is>
      </c>
      <c r="R347" s="75" t="n"/>
      <c r="S347" s="75" t="n"/>
      <c r="T347" s="76" t="n"/>
      <c r="U347" s="75" t="n"/>
      <c r="V347" s="76" t="n"/>
      <c r="Y347" s="153" t="inlineStr">
        <is>
          <t>Global Inv - Mar 2026</t>
        </is>
      </c>
      <c r="Z347" s="153" t="inlineStr">
        <is>
          <t>Spectroscopy data collection and analysis software (FTIR/Raman)</t>
        </is>
      </c>
      <c r="AA347" s="153" t="inlineStr">
        <is>
          <t>Clinical Manufacturing Process</t>
        </is>
      </c>
      <c r="AB347" s="121">
        <f>VLOOKUP(AA347,CategorySummaryTable[],2,FALSE)</f>
        <v/>
      </c>
    </row>
    <row r="348" ht="80" customHeight="1" s="142">
      <c r="B348" s="80" t="inlineStr">
        <is>
          <t>One Trust</t>
        </is>
      </c>
      <c r="C348" s="75" t="n"/>
      <c r="D348" s="75" t="inlineStr">
        <is>
          <t>Active</t>
        </is>
      </c>
      <c r="E348" s="75" t="n"/>
      <c r="F348" s="75" t="n"/>
      <c r="G348" s="75" t="n"/>
      <c r="H348" s="75" t="n"/>
      <c r="I348" s="75" t="n"/>
      <c r="J348" s="75" t="inlineStr">
        <is>
          <t>Other</t>
        </is>
      </c>
      <c r="K348" s="75" t="inlineStr">
        <is>
          <t>Web</t>
        </is>
      </c>
      <c r="L348" s="75" t="n"/>
      <c r="M348" s="75" t="n"/>
      <c r="N348" s="75" t="n"/>
      <c r="O348" s="75" t="n"/>
      <c r="P348" s="75" t="n"/>
      <c r="Q348" s="75" t="inlineStr">
        <is>
          <t>No</t>
        </is>
      </c>
      <c r="R348" s="75" t="n"/>
      <c r="S348" s="75" t="n"/>
      <c r="T348" s="76" t="n"/>
      <c r="U348" s="75" t="n"/>
      <c r="V348" s="76" t="n"/>
      <c r="W348" s="71" t="inlineStr">
        <is>
          <t xml:space="preserve">Solution used by Compliance (data privacy), Security and IT compliance (vendor assessment) </t>
        </is>
      </c>
      <c r="Y348" s="153" t="inlineStr">
        <is>
          <t>Global Inv - Mar 2026</t>
        </is>
      </c>
      <c r="Z348" s="153" t="inlineStr">
        <is>
          <t>Privacy, security, and governance/risk/compliance (GRC) management software</t>
        </is>
      </c>
      <c r="AA348" s="153" t="inlineStr">
        <is>
          <t>Compliance and Risk</t>
        </is>
      </c>
      <c r="AB348" s="121">
        <f>VLOOKUP(AA348,CategorySummaryTable[],2,FALSE)</f>
        <v/>
      </c>
    </row>
    <row r="349" ht="80" customHeight="1" s="142">
      <c r="B349" s="56" t="inlineStr">
        <is>
          <t>OPTI-DRY</t>
        </is>
      </c>
      <c r="C349" s="75" t="inlineStr">
        <is>
          <t>Marked for deletetion</t>
        </is>
      </c>
      <c r="D349" s="75" t="inlineStr">
        <is>
          <t>Unknown</t>
        </is>
      </c>
      <c r="E349" s="75" t="inlineStr">
        <is>
          <t>Millrock Technologies</t>
        </is>
      </c>
      <c r="F349" s="75" t="n"/>
      <c r="G349" s="75" t="n"/>
      <c r="H349" s="75" t="inlineStr">
        <is>
          <t>Plainsboro 105 Corp</t>
        </is>
      </c>
      <c r="I349" s="75" t="inlineStr">
        <is>
          <t>Yes</t>
        </is>
      </c>
      <c r="J349" s="75" t="n"/>
      <c r="K349" s="75" t="inlineStr">
        <is>
          <t>on-prem (not a server?)</t>
        </is>
      </c>
      <c r="L349" s="75" t="n"/>
      <c r="M349" s="75" t="n"/>
      <c r="N349" s="75" t="n"/>
      <c r="O349" s="75" t="n"/>
      <c r="P349" s="75" t="n"/>
      <c r="Q349" s="75" t="inlineStr">
        <is>
          <t>N</t>
        </is>
      </c>
      <c r="R349" s="75" t="n"/>
      <c r="S349" s="75" t="n"/>
      <c r="T349" s="76" t="n"/>
      <c r="U349" s="75" t="n"/>
      <c r="V349" s="76" t="n"/>
      <c r="Y349" s="153" t="inlineStr">
        <is>
          <t>Global Inv - Mar 2026</t>
        </is>
      </c>
      <c r="Z349" s="153" t="inlineStr">
        <is>
          <t>Freeze-drying (lyophilization) process control software</t>
        </is>
      </c>
      <c r="AA349" s="153" t="inlineStr">
        <is>
          <t>Manufacturing</t>
        </is>
      </c>
      <c r="AB349" s="121">
        <f>VLOOKUP(AA349,CategorySummaryTable[],2,FALSE)</f>
        <v/>
      </c>
    </row>
    <row r="350" ht="80" customHeight="1" s="142">
      <c r="B350" s="77" t="inlineStr">
        <is>
          <t>Optim</t>
        </is>
      </c>
      <c r="C350" s="75" t="n"/>
      <c r="D350" s="75" t="inlineStr">
        <is>
          <t>Decommissioned</t>
        </is>
      </c>
      <c r="E350" s="75" t="inlineStr">
        <is>
          <t>IBM</t>
        </is>
      </c>
      <c r="F350" s="75" t="n"/>
      <c r="G350" s="75" t="n"/>
      <c r="H350" s="75" t="inlineStr">
        <is>
          <t>Plainsboro Corp</t>
        </is>
      </c>
      <c r="I350" s="75" t="inlineStr">
        <is>
          <t>Yes</t>
        </is>
      </c>
      <c r="J350" s="75" t="n"/>
      <c r="K350" s="75" t="inlineStr">
        <is>
          <t>On Premises (Client/Server)</t>
        </is>
      </c>
      <c r="L350" s="75" t="n"/>
      <c r="M350" s="75" t="n"/>
      <c r="N350" s="75" t="n"/>
      <c r="O350" s="75" t="n"/>
      <c r="P350" s="75" t="n"/>
      <c r="Q350" s="75" t="inlineStr">
        <is>
          <t>Y</t>
        </is>
      </c>
      <c r="R350" s="75" t="n"/>
      <c r="S350" s="75" t="n"/>
      <c r="T350" s="76" t="n"/>
      <c r="U350" s="75" t="n"/>
      <c r="V350" s="76" t="n"/>
      <c r="W350" s="71" t="inlineStr">
        <is>
          <t>Tools used in the past for archiving. Contract not renewed.</t>
        </is>
      </c>
      <c r="Y350" s="153" t="inlineStr">
        <is>
          <t>Global Inv - Mar 2026</t>
        </is>
      </c>
      <c r="Z350" s="153" t="inlineStr">
        <is>
          <t>Data lifecycle, test data management, archiving, and data masking software</t>
        </is>
      </c>
      <c r="AA350" s="153" t="inlineStr">
        <is>
          <t>Data and Analytics</t>
        </is>
      </c>
      <c r="AB350" s="121">
        <f>VLOOKUP(AA350,CategorySummaryTable[],2,FALSE)</f>
        <v/>
      </c>
    </row>
    <row r="351" ht="64" customHeight="1" s="142">
      <c r="B351" s="82" t="inlineStr">
        <is>
          <t>Oracle Cloud Commerce (OCC)</t>
        </is>
      </c>
      <c r="C351" s="75" t="n"/>
      <c r="D351" s="75" t="inlineStr">
        <is>
          <t>Active</t>
        </is>
      </c>
      <c r="E351" s="75" t="inlineStr">
        <is>
          <t>Oracle</t>
        </is>
      </c>
      <c r="F351" s="75" t="n"/>
      <c r="G351" s="75" t="n"/>
      <c r="H351" s="75" t="n"/>
      <c r="I351" s="75" t="n"/>
      <c r="J351" s="75" t="inlineStr">
        <is>
          <t>Other</t>
        </is>
      </c>
      <c r="K351" s="75" t="inlineStr">
        <is>
          <t>SaaS</t>
        </is>
      </c>
      <c r="L351" s="75" t="n"/>
      <c r="M351" s="75" t="n"/>
      <c r="N351" s="75" t="n"/>
      <c r="O351" s="75" t="n"/>
      <c r="P351" s="75" t="n"/>
      <c r="Q351" s="75" t="inlineStr">
        <is>
          <t>Yes</t>
        </is>
      </c>
      <c r="R351" s="75" t="inlineStr">
        <is>
          <t>4, 5</t>
        </is>
      </c>
      <c r="S351" s="75" t="n"/>
      <c r="T351" s="76" t="n"/>
      <c r="U351" s="75" t="n"/>
      <c r="V351" s="76" t="n"/>
      <c r="Y351" s="153" t="inlineStr">
        <is>
          <t>Global Inv - Mar 2026</t>
        </is>
      </c>
      <c r="Z351" s="153" t="inlineStr">
        <is>
          <t>Cloud-based e-commerce / online commerce platform</t>
        </is>
      </c>
      <c r="AA351" s="153" t="inlineStr">
        <is>
          <t>IT Operations</t>
        </is>
      </c>
      <c r="AB351" s="121">
        <f>VLOOKUP(AA351,CategorySummaryTable[],2,FALSE)</f>
        <v/>
      </c>
    </row>
    <row r="352" ht="64" customHeight="1" s="142">
      <c r="B352" s="77" t="inlineStr">
        <is>
          <t>Oracle Discoverer</t>
        </is>
      </c>
      <c r="C352" s="75" t="n"/>
      <c r="D352" s="75" t="inlineStr">
        <is>
          <t>Decommissioned</t>
        </is>
      </c>
      <c r="E352" s="75" t="inlineStr">
        <is>
          <t>Oracle</t>
        </is>
      </c>
      <c r="F352" s="75" t="n"/>
      <c r="G352" s="75" t="n"/>
      <c r="H352" s="75" t="inlineStr">
        <is>
          <t>All US</t>
        </is>
      </c>
      <c r="I352" s="75" t="n"/>
      <c r="J352" s="75" t="n"/>
      <c r="K352" s="75" t="inlineStr">
        <is>
          <t>Desktop</t>
        </is>
      </c>
      <c r="L352" s="75" t="n"/>
      <c r="M352" s="75" t="n"/>
      <c r="N352" s="75" t="n"/>
      <c r="O352" s="75" t="n"/>
      <c r="P352" s="75" t="n"/>
      <c r="Q352" s="75" t="inlineStr">
        <is>
          <t>N</t>
        </is>
      </c>
      <c r="R352" s="75" t="n"/>
      <c r="S352" s="75" t="n"/>
      <c r="T352" s="76" t="n"/>
      <c r="U352" s="75" t="n"/>
      <c r="V352" s="76" t="n"/>
      <c r="Y352" s="153" t="inlineStr">
        <is>
          <t>Global Inv - Mar 2026</t>
        </is>
      </c>
      <c r="Z352" s="153" t="inlineStr">
        <is>
          <t>Ad-hoc query, reporting, and business intelligence tool</t>
        </is>
      </c>
      <c r="AA352" s="153" t="inlineStr">
        <is>
          <t>IT Operations</t>
        </is>
      </c>
      <c r="AB352" s="121">
        <f>VLOOKUP(AA352,CategorySummaryTable[],2,FALSE)</f>
        <v/>
      </c>
    </row>
    <row r="353" ht="64" customHeight="1" s="142">
      <c r="B353" s="77" t="inlineStr">
        <is>
          <t>Oracle Discoverer</t>
        </is>
      </c>
      <c r="C353" s="75" t="n"/>
      <c r="D353" s="75" t="inlineStr">
        <is>
          <t>Decommissioned</t>
        </is>
      </c>
      <c r="E353" s="75" t="inlineStr">
        <is>
          <t>Oracle</t>
        </is>
      </c>
      <c r="F353" s="75" t="n"/>
      <c r="G353" s="75" t="n"/>
      <c r="H353" s="75" t="inlineStr">
        <is>
          <t>Multi-Site-Cincinnati-Austin</t>
        </is>
      </c>
      <c r="I353" s="75" t="n"/>
      <c r="J353" s="75" t="n"/>
      <c r="K353" s="75" t="inlineStr">
        <is>
          <t>Desktop</t>
        </is>
      </c>
      <c r="L353" s="75" t="n"/>
      <c r="M353" s="75" t="n"/>
      <c r="N353" s="75" t="n"/>
      <c r="O353" s="75" t="n"/>
      <c r="P353" s="75" t="n"/>
      <c r="Q353" s="75" t="inlineStr">
        <is>
          <t>N</t>
        </is>
      </c>
      <c r="R353" s="75" t="n"/>
      <c r="S353" s="75" t="n"/>
      <c r="T353" s="76" t="n"/>
      <c r="U353" s="75" t="n"/>
      <c r="V353" s="76" t="n"/>
      <c r="Y353" s="153" t="inlineStr">
        <is>
          <t>Global Inv - Mar 2026</t>
        </is>
      </c>
      <c r="Z353" s="153" t="inlineStr">
        <is>
          <t>Ad-hoc query, reporting, and business intelligence tool</t>
        </is>
      </c>
      <c r="AA353" s="153" t="inlineStr">
        <is>
          <t>IT Operations</t>
        </is>
      </c>
      <c r="AB353" s="121">
        <f>VLOOKUP(AA353,CategorySummaryTable[],2,FALSE)</f>
        <v/>
      </c>
    </row>
    <row r="354" ht="64" customHeight="1" s="142">
      <c r="B354" s="90" t="inlineStr">
        <is>
          <t>Oracle GTM and OTM (pending go-live) Glopbal Trade Mgt; Oracle Transportation Mgt</t>
        </is>
      </c>
      <c r="C354" s="75" t="inlineStr">
        <is>
          <t>New Oracle modules that will manage the global trade program for international shipments. These modules will be implemented in mid-2021</t>
        </is>
      </c>
      <c r="D354" s="75" t="inlineStr">
        <is>
          <t>Active</t>
        </is>
      </c>
      <c r="E354" s="75" t="inlineStr">
        <is>
          <t>Oracle</t>
        </is>
      </c>
      <c r="F354" s="75" t="n"/>
      <c r="G354" s="75" t="n"/>
      <c r="H354" s="75" t="inlineStr">
        <is>
          <t>Multi-Site</t>
        </is>
      </c>
      <c r="I354" s="75" t="n"/>
      <c r="J354" s="75" t="inlineStr">
        <is>
          <t>OCI</t>
        </is>
      </c>
      <c r="K354" s="75" t="inlineStr">
        <is>
          <t>SaaS</t>
        </is>
      </c>
      <c r="L354" s="75" t="n"/>
      <c r="M354" s="75" t="n"/>
      <c r="N354" s="75" t="n"/>
      <c r="O354" s="75" t="n"/>
      <c r="P354" s="75" t="inlineStr">
        <is>
          <t>T1</t>
        </is>
      </c>
      <c r="Q354" s="75" t="inlineStr">
        <is>
          <t>Yes</t>
        </is>
      </c>
      <c r="R354" s="75" t="inlineStr">
        <is>
          <t>4, 5</t>
        </is>
      </c>
      <c r="S354" s="75" t="inlineStr">
        <is>
          <t>George Groom</t>
        </is>
      </c>
      <c r="T354" s="76" t="n">
        <v>44634</v>
      </c>
      <c r="U354" s="75" t="inlineStr">
        <is>
          <t>Mar 14, 2022 via George Groom</t>
        </is>
      </c>
      <c r="V354" s="76" t="n">
        <v>44634</v>
      </c>
      <c r="Y354" s="153" t="inlineStr">
        <is>
          <t>Global Inv - Mar 2026</t>
        </is>
      </c>
      <c r="Z354" s="153" t="inlineStr">
        <is>
          <t>Global trade management and transportation management software</t>
        </is>
      </c>
      <c r="AA354" s="153" t="inlineStr">
        <is>
          <t>IT Operations</t>
        </is>
      </c>
      <c r="AB354" s="121">
        <f>VLOOKUP(AA354,CategorySummaryTable[],2,FALSE)</f>
        <v/>
      </c>
    </row>
    <row r="355" ht="64" customHeight="1" s="142">
      <c r="B355" s="80" t="inlineStr">
        <is>
          <t>Oracle Identity Management (OIM)</t>
        </is>
      </c>
      <c r="C355" s="75" t="n"/>
      <c r="D355" s="75" t="inlineStr">
        <is>
          <t>Active</t>
        </is>
      </c>
      <c r="E355" s="75" t="inlineStr">
        <is>
          <t>Oracle</t>
        </is>
      </c>
      <c r="F355" s="75" t="n"/>
      <c r="G355" s="75" t="inlineStr">
        <is>
          <t>Enterprise</t>
        </is>
      </c>
      <c r="H355" s="75" t="n"/>
      <c r="I355" s="75" t="inlineStr">
        <is>
          <t>Yes</t>
        </is>
      </c>
      <c r="J355" s="75" t="n"/>
      <c r="K355" s="75" t="n"/>
      <c r="L355" s="75" t="n"/>
      <c r="M355" s="75" t="n"/>
      <c r="N355" s="75" t="n"/>
      <c r="O355" s="75" t="n"/>
      <c r="P355" s="75" t="n"/>
      <c r="Q355" s="75" t="inlineStr">
        <is>
          <t>Yes</t>
        </is>
      </c>
      <c r="R355" s="75" t="n"/>
      <c r="S355" s="75" t="n"/>
      <c r="T355" s="76" t="n"/>
      <c r="U355" s="75" t="n"/>
      <c r="V355" s="76" t="n"/>
      <c r="Y355" s="153" t="inlineStr">
        <is>
          <t>Global Inv - Mar 2026</t>
        </is>
      </c>
      <c r="Z355" s="153" t="inlineStr">
        <is>
          <t>Identity and access management (user provisioning) software</t>
        </is>
      </c>
      <c r="AA355" s="153" t="inlineStr">
        <is>
          <t>IT Operations</t>
        </is>
      </c>
      <c r="AB355" s="121">
        <f>VLOOKUP(AA355,CategorySummaryTable[],2,FALSE)</f>
        <v/>
      </c>
    </row>
    <row r="356" ht="64" customHeight="1" s="142">
      <c r="B356" s="90" t="inlineStr">
        <is>
          <t>Oracle Learning Management (OLM) part of EBS</t>
        </is>
      </c>
      <c r="C356" s="75" t="inlineStr">
        <is>
          <t>Learning tool used by Quality to track employee training. part of EBS. Will be replaced by Saba but it is not complete as of this time. Active as of Mar 14, 2022</t>
        </is>
      </c>
      <c r="D356" s="75" t="inlineStr">
        <is>
          <t>Decommissioned</t>
        </is>
      </c>
      <c r="E356" s="75" t="inlineStr">
        <is>
          <t>Oracle</t>
        </is>
      </c>
      <c r="F356" s="75" t="n"/>
      <c r="G356" s="75" t="n"/>
      <c r="H356" s="75" t="inlineStr">
        <is>
          <t>All US, Canada, Germany, Australia &amp; New Zealand</t>
        </is>
      </c>
      <c r="I356" s="75" t="n"/>
      <c r="J356" s="75" t="inlineStr">
        <is>
          <t>OCI</t>
        </is>
      </c>
      <c r="K356" s="75" t="n"/>
      <c r="L356" s="75" t="n"/>
      <c r="M356" s="75" t="n"/>
      <c r="N356" s="75" t="n"/>
      <c r="O356" s="75" t="n"/>
      <c r="P356" s="75" t="inlineStr">
        <is>
          <t>T1</t>
        </is>
      </c>
      <c r="Q356" s="75" t="inlineStr">
        <is>
          <t>Yes</t>
        </is>
      </c>
      <c r="R356" s="75" t="n"/>
      <c r="S356" s="75" t="inlineStr">
        <is>
          <t>George Groom</t>
        </is>
      </c>
      <c r="T356" s="76" t="n">
        <v>44634</v>
      </c>
      <c r="U356" s="75" t="inlineStr">
        <is>
          <t>Mar 14, 2022 via George Groom</t>
        </is>
      </c>
      <c r="V356" s="76" t="n">
        <v>44634</v>
      </c>
      <c r="Y356" s="153" t="inlineStr">
        <is>
          <t>Global Inv - Mar 2026</t>
        </is>
      </c>
      <c r="Z356" s="153" t="inlineStr">
        <is>
          <t>Learning management system (LMS) for employee training</t>
        </is>
      </c>
      <c r="AA356" s="153" t="inlineStr">
        <is>
          <t>IT Operations</t>
        </is>
      </c>
      <c r="AB356" s="121">
        <f>VLOOKUP(AA356,CategorySummaryTable[],2,FALSE)</f>
        <v/>
      </c>
    </row>
    <row r="357" ht="64" customHeight="1" s="142">
      <c r="B357" s="90" t="inlineStr">
        <is>
          <t>ORACLE OIM AND ESSO</t>
        </is>
      </c>
      <c r="C357" s="75" t="inlineStr">
        <is>
          <t>ESSO connector server on-prem; OIM in OCI</t>
        </is>
      </c>
      <c r="D357" s="75" t="inlineStr">
        <is>
          <t>Active</t>
        </is>
      </c>
      <c r="E357" s="75" t="inlineStr">
        <is>
          <t>Oracle</t>
        </is>
      </c>
      <c r="F357" s="75" t="n"/>
      <c r="G357" s="75" t="n"/>
      <c r="H357" s="75" t="inlineStr">
        <is>
          <t>Plainsboro Corp, York</t>
        </is>
      </c>
      <c r="I357" s="75" t="n"/>
      <c r="J357" s="75" t="inlineStr">
        <is>
          <t>OCI</t>
        </is>
      </c>
      <c r="K357" s="75" t="inlineStr">
        <is>
          <t>On Premises (Client/Server)</t>
        </is>
      </c>
      <c r="L357" s="75" t="n"/>
      <c r="M357" s="75" t="n"/>
      <c r="N357" s="75" t="n"/>
      <c r="O357" s="75" t="n"/>
      <c r="P357" s="75" t="inlineStr">
        <is>
          <t>T2?</t>
        </is>
      </c>
      <c r="Q357" s="75" t="inlineStr">
        <is>
          <t>Yes</t>
        </is>
      </c>
      <c r="R357" s="75" t="n"/>
      <c r="S357" s="75" t="inlineStr">
        <is>
          <t>George Groom</t>
        </is>
      </c>
      <c r="T357" s="76" t="n">
        <v>44634</v>
      </c>
      <c r="U357" s="75" t="inlineStr">
        <is>
          <t>Mar 14, 2022 via George Groom</t>
        </is>
      </c>
      <c r="V357" s="76" t="n">
        <v>44634</v>
      </c>
      <c r="Y357" s="153" t="inlineStr">
        <is>
          <t>Global Inv - Mar 2026</t>
        </is>
      </c>
      <c r="Z357" s="153" t="inlineStr">
        <is>
          <t>Identity management with enterprise single sign-on (ESSO)</t>
        </is>
      </c>
      <c r="AA357" s="153" t="inlineStr">
        <is>
          <t>IT Operations</t>
        </is>
      </c>
      <c r="AB357" s="121">
        <f>VLOOKUP(AA357,CategorySummaryTable[],2,FALSE)</f>
        <v/>
      </c>
    </row>
    <row r="358" ht="64" customHeight="1" s="142">
      <c r="B358" s="82" t="inlineStr">
        <is>
          <t>Oracle Print Server</t>
        </is>
      </c>
      <c r="C358" s="75" t="inlineStr">
        <is>
          <t>US311PRN004 and US311PRN005 back up to each other for server redundancy. In case of server failure, we manually fail over to the other server. The firewall opens the network connection (LPD) from Oracle EBS servers to the print servers.</t>
        </is>
      </c>
      <c r="D358" s="75" t="inlineStr">
        <is>
          <t>Active</t>
        </is>
      </c>
      <c r="E358" s="75" t="inlineStr">
        <is>
          <t>Oracle</t>
        </is>
      </c>
      <c r="F358" s="75" t="n"/>
      <c r="G358" s="75" t="inlineStr">
        <is>
          <t>Enterprise</t>
        </is>
      </c>
      <c r="H358" s="75" t="n"/>
      <c r="I358" s="75" t="inlineStr">
        <is>
          <t>Yes</t>
        </is>
      </c>
      <c r="J358" s="75" t="n"/>
      <c r="K358" s="75" t="n"/>
      <c r="L358" s="75" t="n"/>
      <c r="M358" s="75" t="n"/>
      <c r="N358" s="75" t="n"/>
      <c r="O358" s="75" t="n"/>
      <c r="P358" s="75" t="n"/>
      <c r="Q358" s="75" t="inlineStr">
        <is>
          <t>Yes</t>
        </is>
      </c>
      <c r="R358" s="75" t="n"/>
      <c r="S358" s="75" t="inlineStr">
        <is>
          <t>Kishor Patel</t>
        </is>
      </c>
      <c r="T358" s="76" t="n">
        <v>44522</v>
      </c>
      <c r="U358" s="75" t="inlineStr">
        <is>
          <t>Nov 22, 21 via Kishor Patel</t>
        </is>
      </c>
      <c r="V358" s="76" t="n">
        <v>44522</v>
      </c>
      <c r="Y358" s="153" t="inlineStr">
        <is>
          <t>Global Inv - Mar 2026</t>
        </is>
      </c>
      <c r="Z358" s="153" t="inlineStr">
        <is>
          <t>Print server software for enterprise/Oracle EBS printing</t>
        </is>
      </c>
      <c r="AA358" s="153" t="inlineStr">
        <is>
          <t>IT Operations</t>
        </is>
      </c>
      <c r="AB358" s="121">
        <f>VLOOKUP(AA358,CategorySummaryTable[],2,FALSE)</f>
        <v/>
      </c>
    </row>
    <row r="359" ht="64" customHeight="1" s="142">
      <c r="B359" s="60" t="inlineStr">
        <is>
          <t>Oracle CUPS printing</t>
        </is>
      </c>
      <c r="C359" s="75" t="n"/>
      <c r="D359" s="75" t="inlineStr">
        <is>
          <t>Active</t>
        </is>
      </c>
      <c r="E359" s="75" t="inlineStr">
        <is>
          <t>Oracle</t>
        </is>
      </c>
      <c r="F359" s="75" t="n"/>
      <c r="G359" s="75" t="n"/>
      <c r="H359" s="75" t="n"/>
      <c r="I359" s="75" t="inlineStr">
        <is>
          <t>Yes</t>
        </is>
      </c>
      <c r="J359" s="75" t="n"/>
      <c r="K359" s="75" t="n"/>
      <c r="L359" s="75" t="n"/>
      <c r="M359" s="75" t="n"/>
      <c r="N359" s="75" t="inlineStr">
        <is>
          <t>No</t>
        </is>
      </c>
      <c r="O359" s="75" t="n"/>
      <c r="P359" s="75" t="inlineStr">
        <is>
          <t>T1</t>
        </is>
      </c>
      <c r="Q359" s="75" t="n"/>
      <c r="R359" s="75" t="n"/>
      <c r="S359" s="75" t="n"/>
      <c r="T359" s="76" t="n"/>
      <c r="U359" s="75" t="inlineStr">
        <is>
          <t>from 10 critical app list</t>
        </is>
      </c>
      <c r="V359" s="76" t="n"/>
      <c r="Y359" s="153" t="inlineStr">
        <is>
          <t>Global Inv - Mar 2026</t>
        </is>
      </c>
      <c r="Z359" s="153" t="inlineStr">
        <is>
          <t>Unix/Linux-based (CUPS) network printing system</t>
        </is>
      </c>
      <c r="AA359" s="153" t="inlineStr">
        <is>
          <t>IT Operations</t>
        </is>
      </c>
      <c r="AB359" s="121">
        <f>VLOOKUP(AA359,CategorySummaryTable[],2,FALSE)</f>
        <v/>
      </c>
    </row>
    <row r="360" ht="64" customHeight="1" s="142">
      <c r="B360" s="57" t="inlineStr">
        <is>
          <t>ORACLE R12 EBS (Enterprise Business Systems)</t>
        </is>
      </c>
      <c r="C360" s="75" t="inlineStr">
        <is>
          <t>Deployed to all sites except Lyon, France; Boston, MA; Salt Lake City, UT. EBS</t>
        </is>
      </c>
      <c r="D360" s="75" t="inlineStr">
        <is>
          <t>Active</t>
        </is>
      </c>
      <c r="E360" s="75" t="inlineStr">
        <is>
          <t>Oracle</t>
        </is>
      </c>
      <c r="F360" s="75" t="n"/>
      <c r="G360" s="75" t="n"/>
      <c r="H360" s="75" t="inlineStr">
        <is>
          <t>Multi-Site</t>
        </is>
      </c>
      <c r="I360" s="75" t="n"/>
      <c r="J360" s="75" t="inlineStr">
        <is>
          <t>OCI</t>
        </is>
      </c>
      <c r="K360" s="75" t="inlineStr">
        <is>
          <t>On Premises (Client/Server)</t>
        </is>
      </c>
      <c r="L360" s="75" t="n"/>
      <c r="M360" s="75" t="n"/>
      <c r="N360" s="75" t="n"/>
      <c r="O360" s="75" t="n"/>
      <c r="P360" s="75" t="inlineStr">
        <is>
          <t>T1</t>
        </is>
      </c>
      <c r="Q360" s="75" t="inlineStr">
        <is>
          <t>Yes</t>
        </is>
      </c>
      <c r="R360" s="75" t="n"/>
      <c r="S360" s="75" t="inlineStr">
        <is>
          <t>George Groom</t>
        </is>
      </c>
      <c r="T360" s="76" t="n">
        <v>44634</v>
      </c>
      <c r="U360" s="75" t="inlineStr">
        <is>
          <t>Mar 14, 2022 via George Groom</t>
        </is>
      </c>
      <c r="V360" s="76" t="n">
        <v>44634</v>
      </c>
      <c r="Y360" s="153" t="inlineStr">
        <is>
          <t>Global Inv - Mar 2026</t>
        </is>
      </c>
      <c r="Z360" s="153" t="inlineStr">
        <is>
          <t>Enterprise resource planning (ERP) suite</t>
        </is>
      </c>
      <c r="AA360" s="153" t="inlineStr">
        <is>
          <t>IT Operations</t>
        </is>
      </c>
      <c r="AB360" s="121">
        <f>VLOOKUP(AA360,CategorySummaryTable[],2,FALSE)</f>
        <v/>
      </c>
    </row>
    <row r="361" ht="64" customHeight="1" s="142">
      <c r="B361" s="80" t="inlineStr">
        <is>
          <t>OrCAD Component Information Portal (CIP) / Component Inforation System (CIS)</t>
        </is>
      </c>
      <c r="C361" s="75" t="n"/>
      <c r="D361" s="75" t="inlineStr">
        <is>
          <t>Active</t>
        </is>
      </c>
      <c r="E361" s="75" t="inlineStr">
        <is>
          <t>OrCAD</t>
        </is>
      </c>
      <c r="F361" s="75" t="n"/>
      <c r="G361" s="75" t="inlineStr">
        <is>
          <t>Enterprise</t>
        </is>
      </c>
      <c r="H361" s="75" t="n"/>
      <c r="I361" s="75" t="inlineStr">
        <is>
          <t>Yes</t>
        </is>
      </c>
      <c r="J361" s="75" t="n"/>
      <c r="K361" s="75" t="n"/>
      <c r="L361" s="75" t="n"/>
      <c r="M361" s="75" t="n"/>
      <c r="N361" s="75" t="n"/>
      <c r="O361" s="75" t="n"/>
      <c r="P361" s="75" t="n"/>
      <c r="Q361" s="75" t="inlineStr">
        <is>
          <t>No</t>
        </is>
      </c>
      <c r="R361" s="75" t="n"/>
      <c r="S361" s="75" t="n"/>
      <c r="T361" s="76" t="n"/>
      <c r="U361" s="75" t="n"/>
      <c r="V361" s="76" t="n"/>
      <c r="Y361" s="153" t="inlineStr">
        <is>
          <t>Global Inv - Mar 2026</t>
        </is>
      </c>
      <c r="Z361" s="153" t="inlineStr">
        <is>
          <t>PCB component database / part data management for schematic design</t>
        </is>
      </c>
      <c r="AA361" s="153" t="inlineStr">
        <is>
          <t>Engineering</t>
        </is>
      </c>
      <c r="AB361" s="121">
        <f>VLOOKUP(AA361,CategorySummaryTable[],2,FALSE)</f>
        <v/>
      </c>
    </row>
    <row r="362" ht="101.5" customHeight="1" s="142">
      <c r="B362" s="56" t="inlineStr">
        <is>
          <t>OUTLOOKSOFT/SAP-BPC</t>
        </is>
      </c>
      <c r="C362" s="75" t="n"/>
      <c r="D362" s="75" t="inlineStr">
        <is>
          <t>Decommissioned</t>
        </is>
      </c>
      <c r="E362" s="75" t="inlineStr">
        <is>
          <t>SAP</t>
        </is>
      </c>
      <c r="F362" s="75" t="n"/>
      <c r="G362" s="75" t="n"/>
      <c r="H362" s="75" t="inlineStr">
        <is>
          <t>Multi-Site: Andover, Austin, Boston, Biot, Billerica, Cincinnati, Dublin, Kiel, Lyon, All Plainsboro, Germany, Reno, Salt Lake, San Diego, Tullamore, Waltham, York, Zavante BE</t>
        </is>
      </c>
      <c r="I362" s="75" t="inlineStr">
        <is>
          <t>Yes</t>
        </is>
      </c>
      <c r="J362" s="75" t="n"/>
      <c r="K362" s="75" t="inlineStr">
        <is>
          <t>On Premises (Client/Server)</t>
        </is>
      </c>
      <c r="L362" s="75" t="n"/>
      <c r="M362" s="75" t="n"/>
      <c r="N362" s="75" t="n"/>
      <c r="O362" s="75" t="n"/>
      <c r="P362" s="75" t="n"/>
      <c r="Q362" s="75" t="inlineStr">
        <is>
          <t>N</t>
        </is>
      </c>
      <c r="R362" s="75" t="n"/>
      <c r="S362" s="75" t="n"/>
      <c r="T362" s="76" t="n"/>
      <c r="U362" s="75" t="n"/>
      <c r="V362" s="76" t="n"/>
      <c r="W362" s="71" t="inlineStr">
        <is>
          <t>Replaced by OneStream</t>
        </is>
      </c>
      <c r="Y362" s="153" t="inlineStr">
        <is>
          <t>Global Inv - Mar 2026</t>
        </is>
      </c>
      <c r="Z362" s="153" t="inlineStr">
        <is>
          <t>Enterprise planning, budgeting, and financial consolidation (EPM) software</t>
        </is>
      </c>
      <c r="AA362" s="153" t="inlineStr">
        <is>
          <t>Finance</t>
        </is>
      </c>
      <c r="AB362" s="121">
        <f>VLOOKUP(AA362,CategorySummaryTable[],2,FALSE)</f>
        <v/>
      </c>
    </row>
    <row r="363" ht="64" customHeight="1" s="142">
      <c r="B363" s="80" t="inlineStr">
        <is>
          <t>Paint.NET</t>
        </is>
      </c>
      <c r="C363" s="75" t="inlineStr">
        <is>
          <t>image and photo editing software</t>
        </is>
      </c>
      <c r="D363" s="75" t="inlineStr">
        <is>
          <t>Unknown</t>
        </is>
      </c>
      <c r="E363" s="75" t="inlineStr">
        <is>
          <t>dotPDN</t>
        </is>
      </c>
      <c r="F363" s="75" t="n"/>
      <c r="G363" s="75" t="n"/>
      <c r="H363" s="75" t="n"/>
      <c r="I363" s="75" t="n"/>
      <c r="J363" s="75" t="inlineStr">
        <is>
          <t>Other</t>
        </is>
      </c>
      <c r="K363" s="75" t="n"/>
      <c r="L363" s="75" t="n"/>
      <c r="M363" s="75" t="n"/>
      <c r="N363" s="75" t="n"/>
      <c r="O363" s="75" t="n"/>
      <c r="P363" s="75" t="n"/>
      <c r="Q363" s="75" t="n"/>
      <c r="R363" s="75" t="n"/>
      <c r="S363" s="75" t="n"/>
      <c r="T363" s="76" t="n"/>
      <c r="U363" s="75" t="n"/>
      <c r="V363" s="76" t="n"/>
      <c r="Y363" s="153" t="inlineStr">
        <is>
          <t>Global Inv - Mar 2026</t>
        </is>
      </c>
      <c r="Z363" s="153" t="inlineStr">
        <is>
          <t>Image and photo editing software</t>
        </is>
      </c>
      <c r="AA363" s="153" t="inlineStr">
        <is>
          <t>IT Operations</t>
        </is>
      </c>
      <c r="AB363" s="121">
        <f>VLOOKUP(AA363,CategorySummaryTable[],2,FALSE)</f>
        <v/>
      </c>
    </row>
    <row r="364" ht="64" customHeight="1" s="142">
      <c r="B364" s="80" t="inlineStr">
        <is>
          <t>Palo Alto Firewall VPN Service (GlobalProtect)</t>
        </is>
      </c>
      <c r="C364" s="87" t="n"/>
      <c r="D364" s="87" t="n"/>
      <c r="E364" s="88" t="n"/>
      <c r="F364" s="87" t="n"/>
      <c r="G364" s="88" t="n"/>
      <c r="H364" s="88" t="n"/>
      <c r="I364" s="88" t="n"/>
      <c r="J364" s="88" t="n"/>
      <c r="K364" s="88" t="n"/>
      <c r="L364" s="88" t="n"/>
      <c r="M364" s="88" t="n"/>
      <c r="N364" s="88" t="inlineStr">
        <is>
          <t>Yes</t>
        </is>
      </c>
      <c r="O364" s="88" t="n"/>
      <c r="P364" s="88" t="n"/>
      <c r="Q364" s="88" t="n"/>
      <c r="R364" s="88" t="n"/>
      <c r="S364" s="87" t="inlineStr">
        <is>
          <t>Vincent Lu</t>
        </is>
      </c>
      <c r="T364" s="89" t="n">
        <v>45001</v>
      </c>
      <c r="U364" s="87" t="n"/>
      <c r="V364" s="89" t="n"/>
      <c r="Y364" s="153" t="inlineStr">
        <is>
          <t>Global Inv - Mar 2026</t>
        </is>
      </c>
      <c r="Z364" s="153" t="inlineStr">
        <is>
          <t>VPN / secure remote access client (firewall-based)</t>
        </is>
      </c>
      <c r="AA364" s="153" t="inlineStr">
        <is>
          <t>Cyber Security</t>
        </is>
      </c>
      <c r="AB364" s="121">
        <f>VLOOKUP(AA364,CategorySummaryTable[],2,FALSE)</f>
        <v/>
      </c>
    </row>
    <row r="365" ht="64" customHeight="1" s="142">
      <c r="B365" s="80" t="inlineStr">
        <is>
          <t>Palo Alto User ID Agent Server</t>
        </is>
      </c>
      <c r="C365" s="75" t="inlineStr">
        <is>
          <t>Used to gather user login information</t>
        </is>
      </c>
      <c r="D365" s="75" t="inlineStr">
        <is>
          <t>Unknown</t>
        </is>
      </c>
      <c r="E365" s="75" t="inlineStr">
        <is>
          <t>Palo Alto</t>
        </is>
      </c>
      <c r="F365" s="75" t="n"/>
      <c r="G365" s="75" t="inlineStr">
        <is>
          <t>Enterprise</t>
        </is>
      </c>
      <c r="H365" s="75" t="n"/>
      <c r="I365" s="75" t="inlineStr">
        <is>
          <t>Yes</t>
        </is>
      </c>
      <c r="J365" s="75" t="n"/>
      <c r="K365" s="75" t="inlineStr">
        <is>
          <t>On Premises (Client/Server)</t>
        </is>
      </c>
      <c r="L365" s="75" t="n"/>
      <c r="M365" s="75" t="n"/>
      <c r="N365" s="75" t="n"/>
      <c r="O365" s="75" t="n"/>
      <c r="P365" s="75" t="n"/>
      <c r="Q365" s="75" t="inlineStr">
        <is>
          <t>No</t>
        </is>
      </c>
      <c r="R365" s="75" t="n"/>
      <c r="S365" s="75" t="n"/>
      <c r="T365" s="76" t="n"/>
      <c r="U365" s="75" t="inlineStr">
        <is>
          <t>server?</t>
        </is>
      </c>
      <c r="V365" s="76" t="n"/>
      <c r="Y365" s="153" t="inlineStr">
        <is>
          <t>Global Inv - Mar 2026</t>
        </is>
      </c>
      <c r="Z365" s="153" t="inlineStr">
        <is>
          <t>Agent that maps user logins to IP addresses for firewall policy</t>
        </is>
      </c>
      <c r="AA365" s="153" t="inlineStr">
        <is>
          <t>Cyber Security</t>
        </is>
      </c>
      <c r="AB365" s="121">
        <f>VLOOKUP(AA365,CategorySummaryTable[],2,FALSE)</f>
        <v/>
      </c>
    </row>
    <row r="366" ht="64" customHeight="1" s="142">
      <c r="B366" s="80" t="inlineStr">
        <is>
          <t>Pano Logic Manager</t>
        </is>
      </c>
      <c r="C366" s="75" t="inlineStr">
        <is>
          <t>"central component of the Pano System architecture, connecting and managing Pano users, desktop virtual machines (DVMs), user- and device-based DVM Collections, and both Pano zero clients and the Pano Remote keys.
It provides a unified web-based management front-end, accessible from any web browser"</t>
        </is>
      </c>
      <c r="D366" s="75" t="inlineStr">
        <is>
          <t>Unknown</t>
        </is>
      </c>
      <c r="E366" s="75" t="inlineStr">
        <is>
          <t>Pano Logic</t>
        </is>
      </c>
      <c r="F366" s="75" t="n"/>
      <c r="G366" s="75" t="n"/>
      <c r="H366" s="75" t="n"/>
      <c r="I366" s="75" t="n"/>
      <c r="J366" s="75" t="inlineStr">
        <is>
          <t>Other</t>
        </is>
      </c>
      <c r="K366" s="75" t="n"/>
      <c r="L366" s="75" t="n"/>
      <c r="M366" s="75" t="n"/>
      <c r="N366" s="75" t="n"/>
      <c r="O366" s="75" t="n"/>
      <c r="P366" s="75" t="n"/>
      <c r="Q366" s="75" t="n"/>
      <c r="R366" s="75" t="n"/>
      <c r="S366" s="75" t="n"/>
      <c r="T366" s="76" t="n"/>
      <c r="U366" s="75" t="n"/>
      <c r="V366" s="76" t="n"/>
      <c r="Y366" s="153" t="inlineStr">
        <is>
          <t>Global Inv - Mar 2026</t>
        </is>
      </c>
      <c r="Z366" s="153" t="inlineStr">
        <is>
          <t>Management console for zero-client virtual desktop infrastructure (VDI)</t>
        </is>
      </c>
      <c r="AA366" s="153" t="inlineStr">
        <is>
          <t>IT Operations</t>
        </is>
      </c>
      <c r="AB366" s="121">
        <f>VLOOKUP(AA366,CategorySummaryTable[],2,FALSE)</f>
        <v/>
      </c>
    </row>
    <row r="367" ht="64" customHeight="1" s="142">
      <c r="B367" s="61" t="inlineStr">
        <is>
          <t>Paper Port</t>
        </is>
      </c>
      <c r="C367" s="75" t="n"/>
      <c r="D367" s="75" t="inlineStr">
        <is>
          <t>Not Started</t>
        </is>
      </c>
      <c r="E367" s="75" t="inlineStr">
        <is>
          <t>Kofax</t>
        </is>
      </c>
      <c r="F367" s="75" t="n"/>
      <c r="G367" s="75" t="n"/>
      <c r="H367" s="75" t="inlineStr">
        <is>
          <t>Germany</t>
        </is>
      </c>
      <c r="I367" s="75" t="n"/>
      <c r="J367" s="75" t="n"/>
      <c r="K367" s="75" t="inlineStr">
        <is>
          <t>local</t>
        </is>
      </c>
      <c r="L367" s="75" t="n"/>
      <c r="M367" s="75" t="n"/>
      <c r="N367" s="75" t="n"/>
      <c r="O367" s="75" t="n"/>
      <c r="P367" s="75" t="n"/>
      <c r="Q367" s="75" t="inlineStr">
        <is>
          <t>N</t>
        </is>
      </c>
      <c r="R367" s="75" t="n"/>
      <c r="S367" s="75" t="n"/>
      <c r="T367" s="76" t="n"/>
      <c r="U367" s="75" t="n"/>
      <c r="V367" s="76" t="n"/>
      <c r="Y367" s="153" t="inlineStr">
        <is>
          <t>Global Inv - Mar 2026</t>
        </is>
      </c>
      <c r="Z367" s="153" t="inlineStr">
        <is>
          <t>Document scanning and management software</t>
        </is>
      </c>
      <c r="AA367" s="153" t="inlineStr">
        <is>
          <t>IT Operations</t>
        </is>
      </c>
      <c r="AB367" s="121">
        <f>VLOOKUP(AA367,CategorySummaryTable[],2,FALSE)</f>
        <v/>
      </c>
    </row>
    <row r="368" ht="64" customHeight="1" s="142">
      <c r="B368" s="83" t="inlineStr">
        <is>
          <t>Paragon Harddisk Manager 10</t>
        </is>
      </c>
      <c r="C368" s="75" t="n"/>
      <c r="D368" s="75" t="inlineStr">
        <is>
          <t>Unknown</t>
        </is>
      </c>
      <c r="E368" s="75" t="n"/>
      <c r="F368" s="75" t="n"/>
      <c r="G368" s="75" t="n"/>
      <c r="H368" s="75" t="inlineStr">
        <is>
          <t>Germany</t>
        </is>
      </c>
      <c r="I368" s="75" t="n"/>
      <c r="J368" s="75" t="n"/>
      <c r="K368" s="75" t="inlineStr">
        <is>
          <t>local</t>
        </is>
      </c>
      <c r="L368" s="75" t="n"/>
      <c r="M368" s="75" t="n"/>
      <c r="N368" s="75" t="n"/>
      <c r="O368" s="75" t="n"/>
      <c r="P368" s="75" t="n"/>
      <c r="Q368" s="75" t="inlineStr">
        <is>
          <t>N</t>
        </is>
      </c>
      <c r="R368" s="75" t="n"/>
      <c r="S368" s="75" t="n"/>
      <c r="T368" s="76" t="n"/>
      <c r="U368" s="75" t="n"/>
      <c r="V368" s="76" t="n"/>
      <c r="Y368" s="153" t="inlineStr">
        <is>
          <t>Global Inv - Mar 2026</t>
        </is>
      </c>
      <c r="Z368" s="153" t="inlineStr">
        <is>
          <t>Disk partitioning, backup, and hard drive management software</t>
        </is>
      </c>
      <c r="AA368" s="153" t="inlineStr">
        <is>
          <t>IT Operations</t>
        </is>
      </c>
      <c r="AB368" s="121">
        <f>VLOOKUP(AA368,CategorySummaryTable[],2,FALSE)</f>
        <v/>
      </c>
    </row>
    <row r="369" ht="64" customHeight="1" s="142">
      <c r="B369" s="56" t="inlineStr">
        <is>
          <t>Parasoft C++ Test Pro</t>
        </is>
      </c>
      <c r="C369" s="75" t="n"/>
      <c r="D369" s="75" t="inlineStr">
        <is>
          <t>Unknown</t>
        </is>
      </c>
      <c r="E369" s="75" t="inlineStr">
        <is>
          <t>Parasoft</t>
        </is>
      </c>
      <c r="F369" s="75" t="n"/>
      <c r="G369" s="75" t="n"/>
      <c r="H369" s="75" t="inlineStr">
        <is>
          <t>Billerica</t>
        </is>
      </c>
      <c r="I369" s="75" t="n"/>
      <c r="J369" s="75" t="n"/>
      <c r="K369" s="75" t="inlineStr">
        <is>
          <t>Desktop</t>
        </is>
      </c>
      <c r="L369" s="75" t="n"/>
      <c r="M369" s="75" t="n"/>
      <c r="N369" s="75" t="n"/>
      <c r="O369" s="75" t="n"/>
      <c r="P369" s="75" t="n"/>
      <c r="Q369" s="75" t="inlineStr">
        <is>
          <t>N</t>
        </is>
      </c>
      <c r="R369" s="75" t="n"/>
      <c r="S369" s="75" t="n"/>
      <c r="T369" s="76" t="n"/>
      <c r="U369" s="75" t="n"/>
      <c r="V369" s="76" t="n"/>
      <c r="Y369" s="153" t="inlineStr">
        <is>
          <t>Global Inv - Mar 2026</t>
        </is>
      </c>
      <c r="Z369" s="153" t="inlineStr">
        <is>
          <t>Static analysis and unit testing tool for C/C++ code</t>
        </is>
      </c>
      <c r="AA369" s="153" t="inlineStr">
        <is>
          <t>IT Operations</t>
        </is>
      </c>
      <c r="AB369" s="121">
        <f>VLOOKUP(AA369,CategorySummaryTable[],2,FALSE)</f>
        <v/>
      </c>
    </row>
    <row r="370" ht="64" customHeight="1" s="142">
      <c r="B370" s="61" t="inlineStr">
        <is>
          <t>Parasoft Insure++</t>
        </is>
      </c>
      <c r="C370" s="75" t="n"/>
      <c r="D370" s="75" t="inlineStr">
        <is>
          <t>Unknown</t>
        </is>
      </c>
      <c r="E370" s="75" t="inlineStr">
        <is>
          <t>Parasoft</t>
        </is>
      </c>
      <c r="F370" s="75" t="n"/>
      <c r="G370" s="75" t="n"/>
      <c r="H370" s="75" t="inlineStr">
        <is>
          <t>Billerica</t>
        </is>
      </c>
      <c r="I370" s="75" t="n"/>
      <c r="J370" s="75" t="n"/>
      <c r="K370" s="75" t="inlineStr">
        <is>
          <t>Desktop</t>
        </is>
      </c>
      <c r="L370" s="75" t="n"/>
      <c r="M370" s="75" t="n"/>
      <c r="N370" s="75" t="n"/>
      <c r="O370" s="75" t="n"/>
      <c r="P370" s="75" t="n"/>
      <c r="Q370" s="75" t="inlineStr">
        <is>
          <t>N</t>
        </is>
      </c>
      <c r="R370" s="75" t="n"/>
      <c r="S370" s="75" t="n"/>
      <c r="T370" s="76" t="n"/>
      <c r="U370" s="75" t="n"/>
      <c r="V370" s="76" t="n"/>
      <c r="Y370" s="153" t="inlineStr">
        <is>
          <t>Global Inv - Mar 2026</t>
        </is>
      </c>
      <c r="Z370" s="153" t="inlineStr">
        <is>
          <t>Runtime memory-error and leak detection tool for C/C++</t>
        </is>
      </c>
      <c r="AA370" s="153" t="inlineStr">
        <is>
          <t>IT Operations</t>
        </is>
      </c>
      <c r="AB370" s="121">
        <f>VLOOKUP(AA370,CategorySummaryTable[],2,FALSE)</f>
        <v/>
      </c>
    </row>
    <row r="371" ht="64" customHeight="1" s="142">
      <c r="B371" s="82" t="inlineStr">
        <is>
          <t>PartMaker</t>
        </is>
      </c>
      <c r="C371" s="75" t="inlineStr">
        <is>
          <t>CAD</t>
        </is>
      </c>
      <c r="D371" s="75" t="inlineStr">
        <is>
          <t>Unknown</t>
        </is>
      </c>
      <c r="E371" s="75" t="inlineStr">
        <is>
          <t>Delcam</t>
        </is>
      </c>
      <c r="F371" s="75" t="n"/>
      <c r="G371" s="75" t="n"/>
      <c r="H371" s="75" t="inlineStr">
        <is>
          <t>Cincinnati</t>
        </is>
      </c>
      <c r="I371" s="75" t="inlineStr">
        <is>
          <t>Yes</t>
        </is>
      </c>
      <c r="J371" s="75" t="n"/>
      <c r="K371" s="75" t="inlineStr">
        <is>
          <t>Desktop</t>
        </is>
      </c>
      <c r="L371" s="75" t="n"/>
      <c r="M371" s="75" t="n"/>
      <c r="N371" s="75" t="n"/>
      <c r="O371" s="75" t="n"/>
      <c r="P371" s="75" t="n"/>
      <c r="Q371" s="75" t="inlineStr">
        <is>
          <t>N</t>
        </is>
      </c>
      <c r="R371" s="75" t="n"/>
      <c r="S371" s="75" t="inlineStr">
        <is>
          <t>Michael Patterson</t>
        </is>
      </c>
      <c r="T371" s="76" t="n">
        <v>44516</v>
      </c>
      <c r="U371" s="75" t="inlineStr">
        <is>
          <t>Nov 16, 2021 via Michael Patterson</t>
        </is>
      </c>
      <c r="V371" s="76" t="n">
        <v>44516</v>
      </c>
      <c r="Y371" s="153" t="inlineStr">
        <is>
          <t>Global Inv - Mar 2026</t>
        </is>
      </c>
      <c r="Z371" s="153" t="inlineStr">
        <is>
          <t>Computer-aided manufacturing (CAM) software for CNC machining</t>
        </is>
      </c>
      <c r="AA371" s="153" t="inlineStr">
        <is>
          <t>Engineering</t>
        </is>
      </c>
      <c r="AB371" s="121">
        <f>VLOOKUP(AA371,CategorySummaryTable[],2,FALSE)</f>
        <v/>
      </c>
    </row>
    <row r="372" ht="80" customHeight="1" s="142">
      <c r="B372" s="57" t="inlineStr">
        <is>
          <t>PCDmis</t>
        </is>
      </c>
      <c r="C372" s="75" t="inlineStr">
        <is>
          <t>Marked for deletetion</t>
        </is>
      </c>
      <c r="D372" s="75" t="inlineStr">
        <is>
          <t>Active</t>
        </is>
      </c>
      <c r="E372" s="75" t="inlineStr">
        <is>
          <t>Hexagon Metrology</t>
        </is>
      </c>
      <c r="F372" s="75" t="n"/>
      <c r="G372" s="75" t="n"/>
      <c r="H372" s="75" t="inlineStr">
        <is>
          <t>Cincinnati</t>
        </is>
      </c>
      <c r="I372" s="75" t="n"/>
      <c r="J372" s="75" t="n"/>
      <c r="K372" s="75" t="inlineStr">
        <is>
          <t>Desktop</t>
        </is>
      </c>
      <c r="L372" s="75" t="n"/>
      <c r="M372" s="75" t="n"/>
      <c r="N372" s="75" t="n"/>
      <c r="O372" s="75" t="n"/>
      <c r="P372" s="75" t="n"/>
      <c r="Q372" s="75" t="inlineStr">
        <is>
          <t>Yes</t>
        </is>
      </c>
      <c r="R372" s="75" t="n"/>
      <c r="S372" s="75" t="inlineStr">
        <is>
          <t>Michael Patterson</t>
        </is>
      </c>
      <c r="T372" s="76" t="n">
        <v>44516</v>
      </c>
      <c r="U372" s="75" t="inlineStr">
        <is>
          <t>Nov 16, 2021 via Michael Patterson</t>
        </is>
      </c>
      <c r="V372" s="76" t="n">
        <v>44516</v>
      </c>
      <c r="Y372" s="153" t="inlineStr">
        <is>
          <t>Global Inv - Mar 2026</t>
        </is>
      </c>
      <c r="Z372" s="153" t="inlineStr">
        <is>
          <t>Coordinate measuring machine (CMM) metrology/inspection software</t>
        </is>
      </c>
      <c r="AA372" s="153" t="inlineStr">
        <is>
          <t>Manufacturing</t>
        </is>
      </c>
      <c r="AB372" s="121">
        <f>VLOOKUP(AA372,CategorySummaryTable[],2,FALSE)</f>
        <v/>
      </c>
    </row>
    <row r="373" ht="64" customHeight="1" s="142">
      <c r="B373" s="56" t="inlineStr">
        <is>
          <t>PDF Creator (Free and Pro versions available)</t>
        </is>
      </c>
      <c r="C373" s="75" t="n"/>
      <c r="D373" s="75" t="inlineStr">
        <is>
          <t>Unknown</t>
        </is>
      </c>
      <c r="E373" s="75" t="inlineStr">
        <is>
          <t>PDForge</t>
        </is>
      </c>
      <c r="F373" s="75" t="n"/>
      <c r="G373" s="75" t="n"/>
      <c r="H373" s="75" t="inlineStr">
        <is>
          <t>All US</t>
        </is>
      </c>
      <c r="I373" s="75" t="n"/>
      <c r="J373" s="75" t="n"/>
      <c r="K373" s="75" t="inlineStr">
        <is>
          <t>Desktop</t>
        </is>
      </c>
      <c r="L373" s="75" t="n"/>
      <c r="M373" s="75" t="n"/>
      <c r="N373" s="75" t="n"/>
      <c r="O373" s="75" t="n"/>
      <c r="P373" s="75" t="n"/>
      <c r="Q373" s="75" t="inlineStr">
        <is>
          <t>N</t>
        </is>
      </c>
      <c r="R373" s="75" t="n"/>
      <c r="S373" s="75" t="n"/>
      <c r="T373" s="76" t="n"/>
      <c r="U373" s="75" t="n"/>
      <c r="V373" s="76" t="n"/>
      <c r="Y373" s="153" t="inlineStr">
        <is>
          <t>Global Inv - Mar 2026</t>
        </is>
      </c>
      <c r="Z373" s="153" t="inlineStr">
        <is>
          <t>PDF creation software</t>
        </is>
      </c>
      <c r="AA373" s="153" t="inlineStr">
        <is>
          <t>IT Operations</t>
        </is>
      </c>
      <c r="AB373" s="121">
        <f>VLOOKUP(AA373,CategorySummaryTable[],2,FALSE)</f>
        <v/>
      </c>
    </row>
    <row r="374" ht="64" customHeight="1" s="142">
      <c r="B374" s="80" t="inlineStr">
        <is>
          <t>PDF reDirect</t>
        </is>
      </c>
      <c r="C374" s="75" t="inlineStr">
        <is>
          <t>PDF creator</t>
        </is>
      </c>
      <c r="D374" s="75" t="inlineStr">
        <is>
          <t>Unknown</t>
        </is>
      </c>
      <c r="E374" s="75" t="inlineStr">
        <is>
          <t>EXP Systems</t>
        </is>
      </c>
      <c r="F374" s="75" t="n"/>
      <c r="G374" s="75" t="n"/>
      <c r="H374" s="75" t="n"/>
      <c r="I374" s="75" t="n"/>
      <c r="J374" s="75" t="inlineStr">
        <is>
          <t>Other</t>
        </is>
      </c>
      <c r="K374" s="75" t="n"/>
      <c r="L374" s="75" t="n"/>
      <c r="M374" s="75" t="n"/>
      <c r="N374" s="75" t="n"/>
      <c r="O374" s="75" t="n"/>
      <c r="P374" s="75" t="n"/>
      <c r="Q374" s="75" t="n"/>
      <c r="R374" s="75" t="n"/>
      <c r="S374" s="75" t="n"/>
      <c r="T374" s="76" t="n"/>
      <c r="U374" s="75" t="n"/>
      <c r="V374" s="76" t="n"/>
      <c r="Y374" s="153" t="inlineStr">
        <is>
          <t>Global Inv - Mar 2026</t>
        </is>
      </c>
      <c r="Z374" s="153" t="inlineStr">
        <is>
          <t>PDF creation software</t>
        </is>
      </c>
      <c r="AA374" s="153" t="inlineStr">
        <is>
          <t>IT Operations</t>
        </is>
      </c>
      <c r="AB374" s="121">
        <f>VLOOKUP(AA374,CategorySummaryTable[],2,FALSE)</f>
        <v/>
      </c>
    </row>
    <row r="375" ht="64" customHeight="1" s="142">
      <c r="B375" s="77" t="inlineStr">
        <is>
          <t>PDMWORKS</t>
        </is>
      </c>
      <c r="C375" s="75" t="n"/>
      <c r="D375" s="75" t="inlineStr">
        <is>
          <t>Unknown</t>
        </is>
      </c>
      <c r="E375" s="75" t="inlineStr">
        <is>
          <t>Pdmworks</t>
        </is>
      </c>
      <c r="F375" s="75" t="n"/>
      <c r="G375" s="75" t="n"/>
      <c r="H375" s="75" t="inlineStr">
        <is>
          <t>LYON N/D, kiel</t>
        </is>
      </c>
      <c r="I375" s="75" t="inlineStr">
        <is>
          <t>Yes</t>
        </is>
      </c>
      <c r="J375" s="75" t="n"/>
      <c r="K375" s="75" t="inlineStr">
        <is>
          <t>On Premises (Client/Server)</t>
        </is>
      </c>
      <c r="L375" s="75" t="n"/>
      <c r="M375" s="75" t="n"/>
      <c r="N375" s="75" t="n"/>
      <c r="O375" s="75" t="n"/>
      <c r="P375" s="75" t="n"/>
      <c r="Q375" s="75" t="inlineStr">
        <is>
          <t>N</t>
        </is>
      </c>
      <c r="R375" s="75" t="n"/>
      <c r="S375" s="75" t="n"/>
      <c r="T375" s="76" t="n"/>
      <c r="U375" s="75" t="n"/>
      <c r="V375" s="76" t="n"/>
      <c r="Y375" s="153" t="inlineStr">
        <is>
          <t>Global Inv - Mar 2026</t>
        </is>
      </c>
      <c r="Z375" s="153" t="inlineStr">
        <is>
          <t>Product data management (PDM) software for CAD files</t>
        </is>
      </c>
      <c r="AA375" s="153" t="inlineStr">
        <is>
          <t>Engineering</t>
        </is>
      </c>
      <c r="AB375" s="121">
        <f>VLOOKUP(AA375,CategorySummaryTable[],2,FALSE)</f>
        <v/>
      </c>
    </row>
    <row r="376" ht="80" customHeight="1" s="142">
      <c r="B376" s="77" t="inlineStr">
        <is>
          <t>PEAK NET</t>
        </is>
      </c>
      <c r="C376" s="75" t="n"/>
      <c r="D376" s="75" t="inlineStr">
        <is>
          <t>Unknown</t>
        </is>
      </c>
      <c r="E376" s="75" t="inlineStr">
        <is>
          <t>Dionex</t>
        </is>
      </c>
      <c r="F376" s="75" t="n"/>
      <c r="G376" s="75" t="n"/>
      <c r="H376" s="75" t="inlineStr">
        <is>
          <t>Plainsboro Corp</t>
        </is>
      </c>
      <c r="I376" s="75" t="n"/>
      <c r="J376" s="75" t="n"/>
      <c r="K376" s="75" t="inlineStr">
        <is>
          <t>Local</t>
        </is>
      </c>
      <c r="L376" s="75" t="n"/>
      <c r="M376" s="75" t="n"/>
      <c r="N376" s="75" t="n"/>
      <c r="O376" s="75" t="n"/>
      <c r="P376" s="75" t="n"/>
      <c r="Q376" s="75" t="inlineStr">
        <is>
          <t>N</t>
        </is>
      </c>
      <c r="R376" s="75" t="n"/>
      <c r="S376" s="75" t="n"/>
      <c r="T376" s="76" t="n"/>
      <c r="U376" s="75" t="n"/>
      <c r="V376" s="76" t="n"/>
      <c r="Y376" s="153" t="inlineStr">
        <is>
          <t>Global Inv - Mar 2026</t>
        </is>
      </c>
      <c r="Z376" s="153" t="inlineStr">
        <is>
          <t>Chromatography data system for ion chromatography/HPLC instruments</t>
        </is>
      </c>
      <c r="AA376" s="153" t="inlineStr">
        <is>
          <t>Clinical Manufacturing Process</t>
        </is>
      </c>
      <c r="AB376" s="121">
        <f>VLOOKUP(AA376,CategorySummaryTable[],2,FALSE)</f>
        <v/>
      </c>
    </row>
    <row r="377" ht="87" customHeight="1" s="142">
      <c r="B377" s="82" t="inlineStr">
        <is>
          <t>PeopleFluent</t>
        </is>
      </c>
      <c r="C377" s="75" t="inlineStr">
        <is>
          <t>•	TEST Site:
DB Size: 11gb
File Service Size: 355m
•	PROD Site:
DB Size: 24gb
File Service Size: 1.5g</t>
        </is>
      </c>
      <c r="D377" s="75" t="inlineStr">
        <is>
          <t>Decommissioned</t>
        </is>
      </c>
      <c r="E377" s="75" t="n"/>
      <c r="F377" s="75" t="n"/>
      <c r="G377" s="75" t="n"/>
      <c r="H377" s="75" t="n"/>
      <c r="I377" s="75" t="n"/>
      <c r="J377" s="75" t="inlineStr">
        <is>
          <t>Other</t>
        </is>
      </c>
      <c r="K377" s="75" t="inlineStr">
        <is>
          <t>SaaS</t>
        </is>
      </c>
      <c r="L377" s="75" t="n"/>
      <c r="M377" s="75" t="inlineStr">
        <is>
          <t>Yes</t>
        </is>
      </c>
      <c r="N377" s="75" t="n"/>
      <c r="O377" s="75" t="n"/>
      <c r="P377" s="75" t="n"/>
      <c r="Q377" s="75" t="n"/>
      <c r="R377" s="75" t="n"/>
      <c r="S377" s="75" t="n"/>
      <c r="T377" s="76" t="n"/>
      <c r="U377" s="75" t="n"/>
      <c r="V377" s="76" t="n"/>
      <c r="W377" s="71" t="inlineStr">
        <is>
          <t>Replaced by Workday</t>
        </is>
      </c>
      <c r="Y377" s="153" t="inlineStr">
        <is>
          <t>Global Inv - Mar 2026</t>
        </is>
      </c>
      <c r="Z377" s="153" t="inlineStr">
        <is>
          <t>Talent management and workforce/performance management software</t>
        </is>
      </c>
      <c r="AA377" s="153" t="inlineStr">
        <is>
          <t>Human Resources and Talent</t>
        </is>
      </c>
      <c r="AB377" s="121">
        <f>VLOOKUP(AA377,CategorySummaryTable[],2,FALSE)</f>
        <v/>
      </c>
    </row>
    <row r="378" ht="80" customHeight="1" s="142">
      <c r="B378" s="77" t="inlineStr">
        <is>
          <t>PGP (Protiviti Governance Portal)</t>
        </is>
      </c>
      <c r="C378" s="75" t="inlineStr">
        <is>
          <t>Used for SOX compliance, contains controls, documentation, testing results, and remediation. Document repository for SOX.</t>
        </is>
      </c>
      <c r="D378" s="75" t="inlineStr">
        <is>
          <t>Unknown</t>
        </is>
      </c>
      <c r="E378" s="75" t="n"/>
      <c r="F378" s="75" t="n"/>
      <c r="G378" s="75" t="n"/>
      <c r="H378" s="75" t="inlineStr">
        <is>
          <t>Global (EMEA (Ireland) &amp; APAC (Japan) - Mostly used in Corp)</t>
        </is>
      </c>
      <c r="I378" s="75" t="inlineStr">
        <is>
          <t>Yes</t>
        </is>
      </c>
      <c r="J378" s="75" t="n"/>
      <c r="K378" s="75" t="inlineStr">
        <is>
          <t>On Premises (Client/Server)</t>
        </is>
      </c>
      <c r="L378" s="75" t="n"/>
      <c r="M378" s="75" t="n"/>
      <c r="N378" s="75" t="n"/>
      <c r="O378" s="75" t="n"/>
      <c r="P378" s="75" t="n"/>
      <c r="Q378" s="75" t="inlineStr">
        <is>
          <t>Yes</t>
        </is>
      </c>
      <c r="R378" s="75" t="n"/>
      <c r="S378" s="75" t="n"/>
      <c r="T378" s="76" t="n"/>
      <c r="U378" s="75" t="n"/>
      <c r="V378" s="76" t="n"/>
      <c r="Y378" s="153" t="inlineStr">
        <is>
          <t>Global Inv - Mar 2026</t>
        </is>
      </c>
      <c r="Z378" s="153" t="inlineStr">
        <is>
          <t>Governance, risk, and compliance (GRC) portal for SOX management</t>
        </is>
      </c>
      <c r="AA378" s="153" t="inlineStr">
        <is>
          <t>Compliance and Risk</t>
        </is>
      </c>
      <c r="AB378" s="121">
        <f>VLOOKUP(AA378,CategorySummaryTable[],2,FALSE)</f>
        <v/>
      </c>
    </row>
    <row r="379" ht="64" customHeight="1" s="142">
      <c r="B379" s="77" t="inlineStr">
        <is>
          <t>Photo! Editor</t>
        </is>
      </c>
      <c r="C379" s="75" t="inlineStr">
        <is>
          <t>Marked for deletetion</t>
        </is>
      </c>
      <c r="D379" s="75" t="inlineStr">
        <is>
          <t>Unknown</t>
        </is>
      </c>
      <c r="E379" s="75" t="inlineStr">
        <is>
          <t>pho.to</t>
        </is>
      </c>
      <c r="F379" s="75" t="n"/>
      <c r="G379" s="75" t="n"/>
      <c r="H379" s="75" t="inlineStr">
        <is>
          <t>Billerica</t>
        </is>
      </c>
      <c r="I379" s="75" t="n"/>
      <c r="J379" s="75" t="n"/>
      <c r="K379" s="75" t="inlineStr">
        <is>
          <t>Desktop</t>
        </is>
      </c>
      <c r="L379" s="75" t="n"/>
      <c r="M379" s="75" t="n"/>
      <c r="N379" s="75" t="n"/>
      <c r="O379" s="75" t="n"/>
      <c r="P379" s="75" t="n"/>
      <c r="Q379" s="75" t="inlineStr">
        <is>
          <t>N</t>
        </is>
      </c>
      <c r="R379" s="75" t="n"/>
      <c r="S379" s="75" t="n"/>
      <c r="T379" s="76" t="n"/>
      <c r="U379" s="75" t="n"/>
      <c r="V379" s="76" t="n"/>
      <c r="Y379" s="153" t="inlineStr">
        <is>
          <t>Global Inv - Mar 2026</t>
        </is>
      </c>
      <c r="Z379" s="153" t="inlineStr">
        <is>
          <t>Photo editing software</t>
        </is>
      </c>
      <c r="AA379" s="153" t="inlineStr">
        <is>
          <t>IT Operations</t>
        </is>
      </c>
      <c r="AB379" s="121">
        <f>VLOOKUP(AA379,CategorySummaryTable[],2,FALSE)</f>
        <v/>
      </c>
    </row>
    <row r="380" ht="80" customHeight="1" s="142">
      <c r="B380" s="56" t="inlineStr">
        <is>
          <t>Photron FASTCAM Viewer</t>
        </is>
      </c>
      <c r="C380" s="75" t="inlineStr">
        <is>
          <t>Marked for deletetion</t>
        </is>
      </c>
      <c r="D380" s="75" t="inlineStr">
        <is>
          <t>Unknown</t>
        </is>
      </c>
      <c r="E380" s="75" t="inlineStr">
        <is>
          <t>Photron</t>
        </is>
      </c>
      <c r="F380" s="75" t="n"/>
      <c r="G380" s="75" t="n"/>
      <c r="H380" s="75" t="inlineStr">
        <is>
          <t>Billerica</t>
        </is>
      </c>
      <c r="I380" s="75" t="n"/>
      <c r="J380" s="75" t="n"/>
      <c r="K380" s="75" t="inlineStr">
        <is>
          <t>Desktop</t>
        </is>
      </c>
      <c r="L380" s="75" t="n"/>
      <c r="M380" s="75" t="n"/>
      <c r="N380" s="75" t="n"/>
      <c r="O380" s="75" t="n"/>
      <c r="P380" s="75" t="n"/>
      <c r="Q380" s="75" t="inlineStr">
        <is>
          <t>N</t>
        </is>
      </c>
      <c r="R380" s="75" t="n"/>
      <c r="S380" s="75" t="n"/>
      <c r="T380" s="76" t="n"/>
      <c r="U380" s="75" t="inlineStr">
        <is>
          <t>changed IS Owner</t>
        </is>
      </c>
      <c r="V380" s="76" t="n"/>
      <c r="Y380" s="153" t="inlineStr">
        <is>
          <t>Global Inv - Mar 2026</t>
        </is>
      </c>
      <c r="Z380" s="153" t="inlineStr">
        <is>
          <t>Viewer software for high-speed camera footage</t>
        </is>
      </c>
      <c r="AA380" s="153" t="inlineStr">
        <is>
          <t>Clinical Manufacturing Process</t>
        </is>
      </c>
      <c r="AB380" s="121">
        <f>VLOOKUP(AA380,CategorySummaryTable[],2,FALSE)</f>
        <v/>
      </c>
    </row>
    <row r="381" ht="64" customHeight="1" s="142">
      <c r="B381" s="80" t="inlineStr">
        <is>
          <t>PKI SHA2</t>
        </is>
      </c>
      <c r="C381" s="75" t="inlineStr">
        <is>
          <t>?</t>
        </is>
      </c>
      <c r="D381" s="75" t="inlineStr">
        <is>
          <t>Unknown</t>
        </is>
      </c>
      <c r="E381" s="75" t="inlineStr">
        <is>
          <t>Microsoft?</t>
        </is>
      </c>
      <c r="F381" s="75" t="n"/>
      <c r="G381" s="75" t="inlineStr">
        <is>
          <t>Enterprise</t>
        </is>
      </c>
      <c r="H381" s="75" t="n"/>
      <c r="I381" s="75" t="inlineStr">
        <is>
          <t>Yes</t>
        </is>
      </c>
      <c r="J381" s="75" t="n"/>
      <c r="K381" s="75" t="n"/>
      <c r="L381" s="75" t="n"/>
      <c r="M381" s="75" t="n"/>
      <c r="N381" s="75" t="n"/>
      <c r="O381" s="75" t="n"/>
      <c r="P381" s="75" t="n"/>
      <c r="Q381" s="75" t="inlineStr">
        <is>
          <t>No</t>
        </is>
      </c>
      <c r="R381" s="75" t="n"/>
      <c r="S381" s="75" t="n"/>
      <c r="T381" s="76" t="n"/>
      <c r="U381" s="75" t="n"/>
      <c r="V381" s="76" t="n"/>
      <c r="Y381" s="153" t="inlineStr">
        <is>
          <t>Global Inv - Mar 2026</t>
        </is>
      </c>
      <c r="Z381" s="153" t="inlineStr">
        <is>
          <t>NA</t>
        </is>
      </c>
      <c r="AA381" s="153" t="inlineStr">
        <is>
          <t>IT Operations</t>
        </is>
      </c>
      <c r="AB381" s="121">
        <f>VLOOKUP(AA381,CategorySummaryTable[],2,FALSE)</f>
        <v/>
      </c>
    </row>
    <row r="382" ht="64" customHeight="1" s="142">
      <c r="B382" s="80" t="inlineStr">
        <is>
          <t>PKI Sub CA</t>
        </is>
      </c>
      <c r="C382" s="75" t="inlineStr">
        <is>
          <t>?</t>
        </is>
      </c>
      <c r="D382" s="75" t="inlineStr">
        <is>
          <t>Unknown</t>
        </is>
      </c>
      <c r="E382" s="75" t="n"/>
      <c r="F382" s="75" t="n"/>
      <c r="G382" s="75" t="inlineStr">
        <is>
          <t>Enterprise</t>
        </is>
      </c>
      <c r="H382" s="75" t="n"/>
      <c r="I382" s="75" t="inlineStr">
        <is>
          <t>Yes</t>
        </is>
      </c>
      <c r="J382" s="75" t="n"/>
      <c r="K382" s="75" t="n"/>
      <c r="L382" s="75" t="n"/>
      <c r="M382" s="75" t="n"/>
      <c r="N382" s="75" t="n"/>
      <c r="O382" s="75" t="n"/>
      <c r="P382" s="75" t="n"/>
      <c r="Q382" s="75" t="inlineStr">
        <is>
          <t>No</t>
        </is>
      </c>
      <c r="R382" s="75" t="n"/>
      <c r="S382" s="75" t="n"/>
      <c r="T382" s="76" t="n"/>
      <c r="U382" s="75" t="n"/>
      <c r="V382" s="76" t="n"/>
      <c r="Y382" s="153" t="inlineStr">
        <is>
          <t>Global Inv - Mar 2026</t>
        </is>
      </c>
      <c r="Z382" s="153" t="inlineStr">
        <is>
          <t>NA</t>
        </is>
      </c>
      <c r="AA382" s="153" t="inlineStr">
        <is>
          <t>Cyber Security</t>
        </is>
      </c>
      <c r="AB382" s="121">
        <f>VLOOKUP(AA382,CategorySummaryTable[],2,FALSE)</f>
        <v/>
      </c>
    </row>
    <row r="383" ht="80" customHeight="1" s="142">
      <c r="B383" s="80" t="inlineStr">
        <is>
          <t>Plan</t>
        </is>
      </c>
      <c r="C383" s="75" t="n"/>
      <c r="D383" s="75" t="inlineStr">
        <is>
          <t>Unknown</t>
        </is>
      </c>
      <c r="E383" s="75" t="n"/>
      <c r="F383" s="75" t="n"/>
      <c r="G383" s="75" t="n"/>
      <c r="H383" s="75" t="n"/>
      <c r="I383" s="75" t="n"/>
      <c r="J383" s="75" t="inlineStr">
        <is>
          <t>Other</t>
        </is>
      </c>
      <c r="K383" s="75" t="n"/>
      <c r="L383" s="75" t="n"/>
      <c r="M383" s="75" t="n"/>
      <c r="N383" s="75" t="n"/>
      <c r="O383" s="75" t="n"/>
      <c r="P383" s="75" t="n"/>
      <c r="Q383" s="75" t="n"/>
      <c r="R383" s="75" t="n"/>
      <c r="S383" s="75" t="n"/>
      <c r="T383" s="76" t="n"/>
      <c r="U383" s="75" t="n"/>
      <c r="V383" s="76" t="n"/>
      <c r="Y383" s="153" t="inlineStr">
        <is>
          <t>Global Inv - Mar 2026</t>
        </is>
      </c>
      <c r="Z383" s="153" t="inlineStr">
        <is>
          <t>NA</t>
        </is>
      </c>
      <c r="AA383" s="153" t="inlineStr">
        <is>
          <t>Enterprise Agility</t>
        </is>
      </c>
      <c r="AB383" s="121">
        <f>VLOOKUP(AA383,CategorySummaryTable[],2,FALSE)</f>
        <v/>
      </c>
    </row>
    <row r="384" ht="80" customHeight="1" s="142">
      <c r="B384" s="80" t="inlineStr">
        <is>
          <t>Plaxo</t>
        </is>
      </c>
      <c r="C384" s="75" t="inlineStr">
        <is>
          <t>Online address book- now defunct?</t>
        </is>
      </c>
      <c r="D384" s="75" t="inlineStr">
        <is>
          <t>Unknown</t>
        </is>
      </c>
      <c r="E384" s="75" t="n"/>
      <c r="F384" s="75" t="n"/>
      <c r="G384" s="75" t="n"/>
      <c r="H384" s="75" t="n"/>
      <c r="I384" s="75" t="n"/>
      <c r="J384" s="75" t="inlineStr">
        <is>
          <t>Other</t>
        </is>
      </c>
      <c r="K384" s="75" t="n"/>
      <c r="L384" s="75" t="n"/>
      <c r="M384" s="75" t="n"/>
      <c r="N384" s="75" t="n"/>
      <c r="O384" s="75" t="n"/>
      <c r="P384" s="75" t="n"/>
      <c r="Q384" s="75" t="n"/>
      <c r="R384" s="75" t="n"/>
      <c r="S384" s="75" t="n"/>
      <c r="T384" s="76" t="n"/>
      <c r="U384" s="75" t="n"/>
      <c r="V384" s="76" t="n"/>
      <c r="Y384" s="153" t="inlineStr">
        <is>
          <t>Global Inv - Mar 2026</t>
        </is>
      </c>
      <c r="Z384" s="153" t="inlineStr">
        <is>
          <t>Online address book / contact management service</t>
        </is>
      </c>
      <c r="AA384" s="153" t="inlineStr">
        <is>
          <t>Sales</t>
        </is>
      </c>
      <c r="AB384" s="121">
        <f>VLOOKUP(AA384,CategorySummaryTable[],2,FALSE)</f>
        <v/>
      </c>
    </row>
    <row r="385" ht="64" customHeight="1" s="142">
      <c r="B385" s="77" t="inlineStr">
        <is>
          <t>PMI</t>
        </is>
      </c>
      <c r="C385" s="75" t="n"/>
      <c r="D385" s="75" t="inlineStr">
        <is>
          <t>Unknown</t>
        </is>
      </c>
      <c r="E385" s="75" t="inlineStr">
        <is>
          <t>Pmi</t>
        </is>
      </c>
      <c r="F385" s="75" t="n"/>
      <c r="G385" s="75" t="n"/>
      <c r="H385" s="75" t="inlineStr">
        <is>
          <t>LYON N/D, kiel?</t>
        </is>
      </c>
      <c r="I385" s="75" t="inlineStr">
        <is>
          <t>Yes</t>
        </is>
      </c>
      <c r="J385" s="75" t="n"/>
      <c r="K385" s="75" t="inlineStr">
        <is>
          <t>On Premises (Client/Server)</t>
        </is>
      </c>
      <c r="L385" s="75" t="n"/>
      <c r="M385" s="75" t="n"/>
      <c r="N385" s="75" t="n"/>
      <c r="O385" s="75" t="n"/>
      <c r="P385" s="75" t="n"/>
      <c r="Q385" s="75" t="inlineStr">
        <is>
          <t>N</t>
        </is>
      </c>
      <c r="R385" s="75" t="n"/>
      <c r="S385" s="75" t="n"/>
      <c r="T385" s="76" t="n"/>
      <c r="U385" s="75" t="n"/>
      <c r="V385" s="76" t="n"/>
      <c r="Y385" s="153" t="inlineStr">
        <is>
          <t>Global Inv - Mar 2026</t>
        </is>
      </c>
      <c r="Z385" s="153" t="inlineStr">
        <is>
          <t>NA</t>
        </is>
      </c>
      <c r="AA385" s="153" t="inlineStr">
        <is>
          <t>IT Operations</t>
        </is>
      </c>
      <c r="AB385" s="121">
        <f>VLOOKUP(AA385,CategorySummaryTable[],2,FALSE)</f>
        <v/>
      </c>
    </row>
    <row r="386" ht="64" customHeight="1" s="142">
      <c r="B386" s="91" t="inlineStr">
        <is>
          <t>Power BI</t>
        </is>
      </c>
      <c r="C386" s="75" t="inlineStr">
        <is>
          <t>Power BI Reporting on consignment data from Move Medical</t>
        </is>
      </c>
      <c r="D386" s="75" t="inlineStr">
        <is>
          <t>Active</t>
        </is>
      </c>
      <c r="E386" s="75" t="inlineStr">
        <is>
          <t>Microsoft</t>
        </is>
      </c>
      <c r="F386" s="75" t="n"/>
      <c r="G386" s="75" t="n"/>
      <c r="H386" s="75" t="inlineStr">
        <is>
          <t>Corporate</t>
        </is>
      </c>
      <c r="I386" s="75" t="n"/>
      <c r="J386" s="75" t="inlineStr">
        <is>
          <t>Azure</t>
        </is>
      </c>
      <c r="K386" s="75" t="n"/>
      <c r="L386" s="75" t="n"/>
      <c r="M386" s="75" t="inlineStr">
        <is>
          <t>Yes</t>
        </is>
      </c>
      <c r="N386" s="75" t="n"/>
      <c r="O386" s="75" t="n"/>
      <c r="P386" s="75" t="n"/>
      <c r="Q386" s="75" t="inlineStr">
        <is>
          <t>No</t>
        </is>
      </c>
      <c r="R386" s="75" t="n"/>
      <c r="S386" s="75" t="inlineStr">
        <is>
          <t>Amit Singhal and Vincent Lu</t>
        </is>
      </c>
      <c r="T386" s="76" t="n">
        <v>44664</v>
      </c>
      <c r="U386" s="75" t="inlineStr">
        <is>
          <t>Based on data from Feb 28, 2022 via Amit Singhal and April 13, 2022 via Vincent Lu</t>
        </is>
      </c>
      <c r="V386" s="76" t="n">
        <v>44664</v>
      </c>
      <c r="Y386" s="153" t="inlineStr">
        <is>
          <t>Global Inv - Mar 2026</t>
        </is>
      </c>
      <c r="Z386" s="153" t="inlineStr">
        <is>
          <t>Business intelligence and data visualization software</t>
        </is>
      </c>
      <c r="AA386" s="153" t="inlineStr">
        <is>
          <t>IT Operations</t>
        </is>
      </c>
      <c r="AB386" s="121">
        <f>VLOOKUP(AA386,CategorySummaryTable[],2,FALSE)</f>
        <v/>
      </c>
    </row>
    <row r="387" ht="64" customHeight="1" s="142">
      <c r="B387" s="99" t="inlineStr">
        <is>
          <t>Power BI Gateway</t>
        </is>
      </c>
      <c r="C387" s="75" t="inlineStr">
        <is>
          <t>Power BI Reporting on consignment data from Move Medical</t>
        </is>
      </c>
      <c r="D387" s="75" t="inlineStr">
        <is>
          <t>Active</t>
        </is>
      </c>
      <c r="E387" s="75" t="inlineStr">
        <is>
          <t>Microsoft</t>
        </is>
      </c>
      <c r="F387" s="75" t="n"/>
      <c r="G387" s="75" t="n"/>
      <c r="H387" s="75" t="inlineStr">
        <is>
          <t>Corporate</t>
        </is>
      </c>
      <c r="I387" s="75" t="inlineStr">
        <is>
          <t>Yes</t>
        </is>
      </c>
      <c r="J387" s="75" t="n"/>
      <c r="K387" s="75" t="n"/>
      <c r="L387" s="75" t="n"/>
      <c r="M387" s="75" t="inlineStr">
        <is>
          <t>Yes</t>
        </is>
      </c>
      <c r="N387" s="75" t="n"/>
      <c r="O387" s="75" t="n"/>
      <c r="P387" s="75" t="n"/>
      <c r="Q387" s="75" t="inlineStr">
        <is>
          <t>No</t>
        </is>
      </c>
      <c r="R387" s="75" t="n"/>
      <c r="S387" s="75" t="n"/>
      <c r="T387" s="76" t="n"/>
      <c r="U387" s="75" t="inlineStr">
        <is>
          <t>server?</t>
        </is>
      </c>
      <c r="V387" s="76" t="n"/>
      <c r="Y387" s="153" t="inlineStr">
        <is>
          <t>Global Inv - Mar 2026</t>
        </is>
      </c>
      <c r="Z387" s="153" t="inlineStr">
        <is>
          <t>Connectivity gateway linking on-premises data to Power BI</t>
        </is>
      </c>
      <c r="AA387" s="153" t="inlineStr">
        <is>
          <t>IT Operations</t>
        </is>
      </c>
      <c r="AB387" s="121">
        <f>VLOOKUP(AA387,CategorySummaryTable[],2,FALSE)</f>
        <v/>
      </c>
    </row>
    <row r="388" ht="87" customHeight="1" s="142">
      <c r="A388" s="106" t="n"/>
      <c r="B388" s="107" t="inlineStr">
        <is>
          <t>Power BI Gateway / Power BI for Move Medical</t>
        </is>
      </c>
      <c r="C388" s="75" t="inlineStr">
        <is>
          <t>reporting Power BI Reporting on consignment data from Move Medical. Updated Mar 3, 2022 via Amit Singhal.
May 2022: removed and interdependency listed under MoveMedical and Power BI</t>
        </is>
      </c>
      <c r="D388" s="75" t="inlineStr">
        <is>
          <t>Active</t>
        </is>
      </c>
      <c r="E388" s="75" t="inlineStr">
        <is>
          <t>Microsoft</t>
        </is>
      </c>
      <c r="F388" s="75" t="n"/>
      <c r="G388" s="75" t="n"/>
      <c r="H388" s="75" t="inlineStr">
        <is>
          <t>Globally at Tissue Tech Consignmnet Sales</t>
        </is>
      </c>
      <c r="I388" s="75" t="n"/>
      <c r="J388" s="75" t="inlineStr">
        <is>
          <t>Azure</t>
        </is>
      </c>
      <c r="K388" s="75" t="inlineStr">
        <is>
          <t>PaaS</t>
        </is>
      </c>
      <c r="L388" s="75" t="n"/>
      <c r="M388" s="75" t="inlineStr">
        <is>
          <t>Yes</t>
        </is>
      </c>
      <c r="N388" s="75" t="n"/>
      <c r="O388" s="75" t="n"/>
      <c r="P388" s="75" t="inlineStr">
        <is>
          <t>T1</t>
        </is>
      </c>
      <c r="Q388" s="75" t="inlineStr">
        <is>
          <t>No</t>
        </is>
      </c>
      <c r="R388" s="75" t="n"/>
      <c r="S388" s="75" t="inlineStr">
        <is>
          <t>Amit Singhal</t>
        </is>
      </c>
      <c r="T388" s="76" t="n">
        <v>44693</v>
      </c>
      <c r="U388" s="75" t="inlineStr">
        <is>
          <t>Mar 3, 2022 via Amit Singhal.
May 2022: removed and interdependency listed under MoveMedical and Power BI</t>
        </is>
      </c>
      <c r="V388" s="76" t="n"/>
      <c r="Y388" s="153" t="inlineStr">
        <is>
          <t>Global Inv - Mar 2026</t>
        </is>
      </c>
      <c r="Z388" s="153" t="inlineStr">
        <is>
          <t>Connectivity gateway linking on-premises data to Power BI</t>
        </is>
      </c>
      <c r="AA388" s="153" t="inlineStr">
        <is>
          <t>IT Operations</t>
        </is>
      </c>
      <c r="AB388" s="121">
        <f>VLOOKUP(AA388,CategorySummaryTable[],2,FALSE)</f>
        <v/>
      </c>
    </row>
    <row r="389" ht="80" customHeight="1" s="142">
      <c r="B389" s="77" t="inlineStr">
        <is>
          <t>PrimoDVD</t>
        </is>
      </c>
      <c r="C389" s="75" t="n"/>
      <c r="D389" s="75" t="inlineStr">
        <is>
          <t>Unknown</t>
        </is>
      </c>
      <c r="E389" s="75" t="inlineStr">
        <is>
          <t>Primera</t>
        </is>
      </c>
      <c r="F389" s="75" t="n"/>
      <c r="G389" s="75" t="n"/>
      <c r="H389" s="75" t="inlineStr">
        <is>
          <t>Cincinnati</t>
        </is>
      </c>
      <c r="I389" s="75" t="n"/>
      <c r="J389" s="75" t="n"/>
      <c r="K389" s="75" t="inlineStr">
        <is>
          <t>Desktop</t>
        </is>
      </c>
      <c r="L389" s="75" t="n"/>
      <c r="M389" s="75" t="n"/>
      <c r="N389" s="75" t="n"/>
      <c r="O389" s="75" t="n"/>
      <c r="P389" s="75" t="n"/>
      <c r="Q389" s="75" t="inlineStr">
        <is>
          <t>N</t>
        </is>
      </c>
      <c r="R389" s="75" t="n"/>
      <c r="S389" s="75" t="n"/>
      <c r="T389" s="76" t="n"/>
      <c r="U389" s="75" t="n"/>
      <c r="V389" s="76" t="n"/>
      <c r="Y389" s="153" t="inlineStr">
        <is>
          <t>Global Inv - Mar 2026</t>
        </is>
      </c>
      <c r="Z389" s="153" t="inlineStr">
        <is>
          <t>CD/DVD disc duplication and publishing software</t>
        </is>
      </c>
      <c r="AA389" s="153" t="inlineStr">
        <is>
          <t>Manufacturing</t>
        </is>
      </c>
      <c r="AB389" s="121">
        <f>VLOOKUP(AA389,CategorySummaryTable[],2,FALSE)</f>
        <v/>
      </c>
    </row>
    <row r="390" ht="96" customHeight="1" s="142">
      <c r="B390" s="77" t="inlineStr">
        <is>
          <t>Prisym</t>
        </is>
      </c>
      <c r="C390" s="75" t="n"/>
      <c r="D390" s="75" t="inlineStr">
        <is>
          <t>Unknown</t>
        </is>
      </c>
      <c r="E390" s="75" t="n"/>
      <c r="F390" s="75" t="n"/>
      <c r="G390" s="75" t="n"/>
      <c r="H390" s="75" t="inlineStr">
        <is>
          <t>Germany</t>
        </is>
      </c>
      <c r="I390" s="75" t="n"/>
      <c r="J390" s="75" t="n"/>
      <c r="K390" s="75" t="inlineStr">
        <is>
          <t>Desktop</t>
        </is>
      </c>
      <c r="L390" s="75" t="n"/>
      <c r="M390" s="75" t="n"/>
      <c r="N390" s="75" t="n"/>
      <c r="O390" s="75" t="n"/>
      <c r="P390" s="75" t="n"/>
      <c r="Q390" s="75" t="inlineStr">
        <is>
          <t>N</t>
        </is>
      </c>
      <c r="R390" s="75" t="n"/>
      <c r="S390" s="75" t="n"/>
      <c r="T390" s="76" t="n"/>
      <c r="U390" s="75" t="n"/>
      <c r="V390" s="76" t="n"/>
      <c r="Y390" s="153" t="inlineStr">
        <is>
          <t>Global Inv - Mar 2026</t>
        </is>
      </c>
      <c r="Z390" s="153" t="inlineStr">
        <is>
          <t>Label design and label lifecycle management software</t>
        </is>
      </c>
      <c r="AA390" s="153" t="inlineStr">
        <is>
          <t>Regulatory Affairs</t>
        </is>
      </c>
      <c r="AB390" s="121">
        <f>VLOOKUP(AA390,CategorySummaryTable[],2,FALSE)</f>
        <v/>
      </c>
    </row>
    <row r="391" ht="80" customHeight="1" s="142">
      <c r="B391" s="77" t="inlineStr">
        <is>
          <t>PRMS/AS400</t>
        </is>
      </c>
      <c r="C391" s="75" t="inlineStr">
        <is>
          <t>retired?</t>
        </is>
      </c>
      <c r="D391" s="75" t="inlineStr">
        <is>
          <t>Unknown</t>
        </is>
      </c>
      <c r="E391" s="75" t="inlineStr">
        <is>
          <t>Prms</t>
        </is>
      </c>
      <c r="F391" s="75" t="n"/>
      <c r="G391" s="75" t="n"/>
      <c r="H391" s="75" t="inlineStr">
        <is>
          <t>Puerto Rico</t>
        </is>
      </c>
      <c r="I391" s="75" t="inlineStr">
        <is>
          <t>Yes</t>
        </is>
      </c>
      <c r="J391" s="75" t="n"/>
      <c r="K391" s="75" t="inlineStr">
        <is>
          <t>On Premises (Client/Server)</t>
        </is>
      </c>
      <c r="L391" s="75" t="n"/>
      <c r="M391" s="75" t="n"/>
      <c r="N391" s="75" t="n"/>
      <c r="O391" s="75" t="n"/>
      <c r="P391" s="75" t="n"/>
      <c r="Q391" s="75" t="inlineStr">
        <is>
          <t>Y</t>
        </is>
      </c>
      <c r="R391" s="75" t="n"/>
      <c r="S391" s="75" t="n"/>
      <c r="T391" s="76" t="n"/>
      <c r="U391" s="75" t="n"/>
      <c r="V391" s="76" t="n"/>
      <c r="Y391" s="153" t="inlineStr">
        <is>
          <t>Global Inv - Mar 2026</t>
        </is>
      </c>
      <c r="Z391" s="153" t="inlineStr">
        <is>
          <t>Enterprise resource planning (ERP) software on IBM AS/400</t>
        </is>
      </c>
      <c r="AA391" s="153" t="inlineStr">
        <is>
          <t>Finance</t>
        </is>
      </c>
      <c r="AB391" s="121">
        <f>VLOOKUP(AA391,CategorySummaryTable[],2,FALSE)</f>
        <v/>
      </c>
    </row>
    <row r="392" ht="80" customHeight="1" s="142">
      <c r="B392" s="77" t="inlineStr">
        <is>
          <t>Pro Cal</t>
        </is>
      </c>
      <c r="C392" s="75" t="n"/>
      <c r="D392" s="75" t="inlineStr">
        <is>
          <t>Unknown</t>
        </is>
      </c>
      <c r="E392" s="75" t="inlineStr">
        <is>
          <t>Prime Technologies Inc.</t>
        </is>
      </c>
      <c r="F392" s="75" t="n"/>
      <c r="G392" s="75" t="n"/>
      <c r="H392" s="75" t="inlineStr">
        <is>
          <t>Plainsboro 105/ 109</t>
        </is>
      </c>
      <c r="I392" s="75" t="n"/>
      <c r="J392" s="75" t="n"/>
      <c r="K392" s="75" t="n"/>
      <c r="L392" s="75" t="n"/>
      <c r="M392" s="75" t="n"/>
      <c r="N392" s="75" t="n"/>
      <c r="O392" s="75" t="n"/>
      <c r="P392" s="75" t="n"/>
      <c r="Q392" s="75" t="inlineStr">
        <is>
          <t>Y</t>
        </is>
      </c>
      <c r="R392" s="75" t="n"/>
      <c r="S392" s="75" t="n"/>
      <c r="T392" s="76" t="n"/>
      <c r="U392" s="75" t="n"/>
      <c r="V392" s="76" t="n"/>
      <c r="Y392" s="153" t="inlineStr">
        <is>
          <t>Global Inv - Mar 2026</t>
        </is>
      </c>
      <c r="Z392" s="153" t="inlineStr">
        <is>
          <t>Calibration management software</t>
        </is>
      </c>
      <c r="AA392" s="153" t="inlineStr">
        <is>
          <t>Quality and Validation</t>
        </is>
      </c>
      <c r="AB392" s="121">
        <f>VLOOKUP(AA392,CategorySummaryTable[],2,FALSE)</f>
        <v/>
      </c>
    </row>
    <row r="393" ht="64" customHeight="1" s="142">
      <c r="B393" s="77" t="inlineStr">
        <is>
          <t>Pro/Intralink</t>
        </is>
      </c>
      <c r="C393" s="75" t="n"/>
      <c r="D393" s="75" t="inlineStr">
        <is>
          <t>Unknown</t>
        </is>
      </c>
      <c r="E393" s="75" t="inlineStr">
        <is>
          <t>PTC</t>
        </is>
      </c>
      <c r="F393" s="75" t="n"/>
      <c r="G393" s="75" t="n"/>
      <c r="H393" s="75" t="inlineStr">
        <is>
          <t>Tullamore, Billerica</t>
        </is>
      </c>
      <c r="I393" s="75" t="inlineStr">
        <is>
          <t>Yes</t>
        </is>
      </c>
      <c r="J393" s="75" t="n"/>
      <c r="K393" s="75" t="inlineStr">
        <is>
          <t>On Premises (Client/Server)</t>
        </is>
      </c>
      <c r="L393" s="75" t="n"/>
      <c r="M393" s="75" t="n"/>
      <c r="N393" s="75" t="n"/>
      <c r="O393" s="75" t="n"/>
      <c r="P393" s="75" t="n"/>
      <c r="Q393" s="75" t="inlineStr">
        <is>
          <t>N</t>
        </is>
      </c>
      <c r="R393" s="75" t="n"/>
      <c r="S393" s="75" t="n"/>
      <c r="T393" s="76" t="n"/>
      <c r="U393" s="75" t="inlineStr">
        <is>
          <t>changed IS Owner</t>
        </is>
      </c>
      <c r="V393" s="76" t="n"/>
      <c r="Y393" s="153" t="inlineStr">
        <is>
          <t>Global Inv - Mar 2026</t>
        </is>
      </c>
      <c r="Z393" s="153" t="inlineStr">
        <is>
          <t>Product data management (PDM) software for CAD/PLM</t>
        </is>
      </c>
      <c r="AA393" s="153" t="inlineStr">
        <is>
          <t>Engineering</t>
        </is>
      </c>
      <c r="AB393" s="121">
        <f>VLOOKUP(AA393,CategorySummaryTable[],2,FALSE)</f>
        <v/>
      </c>
    </row>
    <row r="394" ht="64" customHeight="1" s="142">
      <c r="B394" s="77" t="inlineStr">
        <is>
          <t>Pro/Intralink (Flex LM License Server)</t>
        </is>
      </c>
      <c r="C394" s="75" t="n"/>
      <c r="D394" s="75" t="inlineStr">
        <is>
          <t>Unknown</t>
        </is>
      </c>
      <c r="E394" s="75" t="inlineStr">
        <is>
          <t>PTC</t>
        </is>
      </c>
      <c r="F394" s="75" t="n"/>
      <c r="G394" s="75" t="n"/>
      <c r="H394" s="75" t="inlineStr">
        <is>
          <t>Tullamore, Billerica</t>
        </is>
      </c>
      <c r="I394" s="75" t="inlineStr">
        <is>
          <t>Yes</t>
        </is>
      </c>
      <c r="J394" s="75" t="n"/>
      <c r="K394" s="75" t="inlineStr">
        <is>
          <t>On Premises (Client/Server)</t>
        </is>
      </c>
      <c r="L394" s="75" t="n"/>
      <c r="M394" s="75" t="n"/>
      <c r="N394" s="75" t="n"/>
      <c r="O394" s="75" t="n"/>
      <c r="P394" s="75" t="n"/>
      <c r="Q394" s="75" t="inlineStr">
        <is>
          <t>N</t>
        </is>
      </c>
      <c r="R394" s="75" t="n"/>
      <c r="S394" s="75" t="n"/>
      <c r="T394" s="76" t="n"/>
      <c r="U394" s="75" t="inlineStr">
        <is>
          <t>changed IS Owner. Server?</t>
        </is>
      </c>
      <c r="V394" s="76" t="n"/>
      <c r="Y394" s="153" t="inlineStr">
        <is>
          <t>Global Inv - Mar 2026</t>
        </is>
      </c>
      <c r="Z394" s="153" t="inlineStr">
        <is>
          <t>License server (FlexLM) for Pro/Intralink PDM software</t>
        </is>
      </c>
      <c r="AA394" s="153" t="inlineStr">
        <is>
          <t>Engineering</t>
        </is>
      </c>
      <c r="AB394" s="121">
        <f>VLOOKUP(AA394,CategorySummaryTable[],2,FALSE)</f>
        <v/>
      </c>
    </row>
    <row r="395" ht="80" customHeight="1" s="142">
      <c r="B395" s="77" t="inlineStr">
        <is>
          <t>PRODOC98 (Jarit)</t>
        </is>
      </c>
      <c r="C395" s="75" t="n"/>
      <c r="D395" s="75" t="inlineStr">
        <is>
          <t>Unknown</t>
        </is>
      </c>
      <c r="E395" s="75" t="n"/>
      <c r="F395" s="75" t="n"/>
      <c r="G395" s="75" t="n"/>
      <c r="H395" s="75" t="inlineStr">
        <is>
          <t>TUT</t>
        </is>
      </c>
      <c r="I395" s="75" t="inlineStr">
        <is>
          <t>Yes</t>
        </is>
      </c>
      <c r="J395" s="75" t="n"/>
      <c r="K395" s="75" t="inlineStr">
        <is>
          <t>On Premises (Client/Server)</t>
        </is>
      </c>
      <c r="L395" s="75" t="n"/>
      <c r="M395" s="75" t="n"/>
      <c r="N395" s="75" t="n"/>
      <c r="O395" s="75" t="n"/>
      <c r="P395" s="75" t="n"/>
      <c r="Q395" s="75" t="inlineStr">
        <is>
          <t>N</t>
        </is>
      </c>
      <c r="R395" s="75" t="n"/>
      <c r="S395" s="75" t="n"/>
      <c r="T395" s="76" t="n"/>
      <c r="U395" s="75" t="n"/>
      <c r="V395" s="76" t="n"/>
      <c r="Y395" s="153" t="inlineStr">
        <is>
          <t>Global Inv - Mar 2026</t>
        </is>
      </c>
      <c r="Z395" s="153" t="inlineStr">
        <is>
          <t>NA</t>
        </is>
      </c>
      <c r="AA395" s="153" t="inlineStr">
        <is>
          <t>Manufacturing</t>
        </is>
      </c>
      <c r="AB395" s="121">
        <f>VLOOKUP(AA395,CategorySummaryTable[],2,FALSE)</f>
        <v/>
      </c>
    </row>
    <row r="396" ht="64" customHeight="1" s="142">
      <c r="B396" s="77" t="inlineStr">
        <is>
          <t>ProEngineer (NOW called Creo)</t>
        </is>
      </c>
      <c r="C396" s="75" t="n"/>
      <c r="D396" s="75" t="inlineStr">
        <is>
          <t>Unknown</t>
        </is>
      </c>
      <c r="E396" s="75" t="inlineStr">
        <is>
          <t>PTC</t>
        </is>
      </c>
      <c r="F396" s="75" t="n"/>
      <c r="G396" s="75" t="n"/>
      <c r="H396" s="75" t="inlineStr">
        <is>
          <t>Andover</t>
        </is>
      </c>
      <c r="I396" s="75" t="inlineStr">
        <is>
          <t>Yes</t>
        </is>
      </c>
      <c r="J396" s="75" t="n"/>
      <c r="K396" s="75" t="inlineStr">
        <is>
          <t>On Premises (Client/Server)</t>
        </is>
      </c>
      <c r="L396" s="75" t="n"/>
      <c r="M396" s="75" t="n"/>
      <c r="N396" s="75" t="n"/>
      <c r="O396" s="75" t="n"/>
      <c r="P396" s="75" t="n"/>
      <c r="Q396" s="75" t="inlineStr">
        <is>
          <t>N</t>
        </is>
      </c>
      <c r="R396" s="75" t="n"/>
      <c r="S396" s="75" t="n"/>
      <c r="T396" s="76" t="n"/>
      <c r="U396" s="75" t="n"/>
      <c r="V396" s="76" t="n"/>
      <c r="Y396" s="153" t="inlineStr">
        <is>
          <t>Global Inv - Mar 2026</t>
        </is>
      </c>
      <c r="Z396" s="153" t="inlineStr">
        <is>
          <t>3D CAD / product design software</t>
        </is>
      </c>
      <c r="AA396" s="153" t="inlineStr">
        <is>
          <t>Engineering</t>
        </is>
      </c>
      <c r="AB396" s="121">
        <f>VLOOKUP(AA396,CategorySummaryTable[],2,FALSE)</f>
        <v/>
      </c>
    </row>
    <row r="397" ht="64" customHeight="1" s="142">
      <c r="B397" s="77" t="inlineStr">
        <is>
          <t>Project Server 2013</t>
        </is>
      </c>
      <c r="C397" s="75" t="inlineStr">
        <is>
          <t>Marked for deletetion</t>
        </is>
      </c>
      <c r="D397" s="75" t="inlineStr">
        <is>
          <t>Unknown</t>
        </is>
      </c>
      <c r="E397" s="75" t="inlineStr">
        <is>
          <t>Microsoft</t>
        </is>
      </c>
      <c r="F397" s="75" t="n"/>
      <c r="G397" s="75" t="n"/>
      <c r="H397" s="75" t="inlineStr">
        <is>
          <t>Puerto Rico</t>
        </is>
      </c>
      <c r="I397" s="75" t="inlineStr">
        <is>
          <t>Yes</t>
        </is>
      </c>
      <c r="J397" s="75" t="n"/>
      <c r="K397" s="75" t="inlineStr">
        <is>
          <t>On Premises (Client/Server)</t>
        </is>
      </c>
      <c r="L397" s="75" t="n"/>
      <c r="M397" s="75" t="n"/>
      <c r="N397" s="75" t="n"/>
      <c r="O397" s="75" t="n"/>
      <c r="P397" s="75" t="n"/>
      <c r="Q397" s="75" t="inlineStr">
        <is>
          <t>N</t>
        </is>
      </c>
      <c r="R397" s="75" t="n"/>
      <c r="S397" s="75" t="n"/>
      <c r="T397" s="76" t="n"/>
      <c r="U397" s="75" t="inlineStr">
        <is>
          <t>server?</t>
        </is>
      </c>
      <c r="V397" s="76" t="n"/>
      <c r="Y397" s="153" t="inlineStr">
        <is>
          <t>Global Inv - Mar 2026</t>
        </is>
      </c>
      <c r="Z397" s="153" t="inlineStr">
        <is>
          <t>Project and portfolio management server software</t>
        </is>
      </c>
      <c r="AA397" s="153" t="inlineStr">
        <is>
          <t>IT Operations</t>
        </is>
      </c>
      <c r="AB397" s="121">
        <f>VLOOKUP(AA397,CategorySummaryTable[],2,FALSE)</f>
        <v/>
      </c>
    </row>
    <row r="398" ht="64" customHeight="1" s="142">
      <c r="B398" s="80" t="inlineStr">
        <is>
          <t>PRTG Traffic Grapher</t>
        </is>
      </c>
      <c r="C398" s="75" t="inlineStr">
        <is>
          <t>monitor and classify system conditions like bandwidth usage or uptime and collect statistics from miscellaneous hosts as switches, routers, servers and other devices and applications</t>
        </is>
      </c>
      <c r="D398" s="75" t="inlineStr">
        <is>
          <t>Unknown</t>
        </is>
      </c>
      <c r="E398" s="75" t="inlineStr">
        <is>
          <t>Paessler</t>
        </is>
      </c>
      <c r="F398" s="75" t="n"/>
      <c r="G398" s="75" t="n"/>
      <c r="H398" s="75" t="n"/>
      <c r="I398" s="75" t="n"/>
      <c r="J398" s="75" t="inlineStr">
        <is>
          <t>Other</t>
        </is>
      </c>
      <c r="K398" s="75" t="n"/>
      <c r="L398" s="75" t="n"/>
      <c r="M398" s="75" t="n"/>
      <c r="N398" s="75" t="n"/>
      <c r="O398" s="75" t="n"/>
      <c r="P398" s="75" t="n"/>
      <c r="Q398" s="75" t="n"/>
      <c r="R398" s="75" t="n"/>
      <c r="S398" s="75" t="n"/>
      <c r="T398" s="76" t="n"/>
      <c r="U398" s="75" t="n"/>
      <c r="V398" s="76" t="n"/>
      <c r="Y398" s="153" t="inlineStr">
        <is>
          <t>Global Inv - Mar 2026</t>
        </is>
      </c>
      <c r="Z398" s="153" t="inlineStr">
        <is>
          <t>Network and infrastructure monitoring software</t>
        </is>
      </c>
      <c r="AA398" s="153" t="inlineStr">
        <is>
          <t>IT Operations</t>
        </is>
      </c>
      <c r="AB398" s="121">
        <f>VLOOKUP(AA398,CategorySummaryTable[],2,FALSE)</f>
        <v/>
      </c>
    </row>
    <row r="399" ht="64" customHeight="1" s="142">
      <c r="B399" s="77" t="inlineStr">
        <is>
          <t>PTC RS Designer</t>
        </is>
      </c>
      <c r="C399" s="75" t="n"/>
      <c r="D399" s="75" t="inlineStr">
        <is>
          <t>Unknown</t>
        </is>
      </c>
      <c r="E399" s="75" t="inlineStr">
        <is>
          <t>PTC</t>
        </is>
      </c>
      <c r="F399" s="75" t="n"/>
      <c r="G399" s="75" t="n"/>
      <c r="H399" s="75" t="inlineStr">
        <is>
          <t>Billerica</t>
        </is>
      </c>
      <c r="I399" s="75" t="n"/>
      <c r="J399" s="75" t="n"/>
      <c r="K399" s="75" t="inlineStr">
        <is>
          <t>Desktop</t>
        </is>
      </c>
      <c r="L399" s="75" t="n"/>
      <c r="M399" s="75" t="n"/>
      <c r="N399" s="75" t="n"/>
      <c r="O399" s="75" t="n"/>
      <c r="P399" s="75" t="n"/>
      <c r="Q399" s="75" t="inlineStr">
        <is>
          <t>N</t>
        </is>
      </c>
      <c r="R399" s="75" t="n"/>
      <c r="S399" s="75" t="n"/>
      <c r="T399" s="76" t="n"/>
      <c r="U399" s="75" t="inlineStr">
        <is>
          <t>changed IS Owner</t>
        </is>
      </c>
      <c r="V399" s="76" t="n"/>
      <c r="Y399" s="153" t="inlineStr">
        <is>
          <t>Global Inv - Mar 2026</t>
        </is>
      </c>
      <c r="Z399" s="153" t="inlineStr">
        <is>
          <t>Routed systems (piping and cabling) schematic design software</t>
        </is>
      </c>
      <c r="AA399" s="153" t="inlineStr">
        <is>
          <t>Engineering</t>
        </is>
      </c>
      <c r="AB399" s="121">
        <f>VLOOKUP(AA399,CategorySummaryTable[],2,FALSE)</f>
        <v/>
      </c>
    </row>
    <row r="400" ht="64" customHeight="1" s="142">
      <c r="B400" s="80" t="inlineStr">
        <is>
          <t>PTC RS Mechanica</t>
        </is>
      </c>
      <c r="C400" s="75" t="n"/>
      <c r="D400" s="75" t="inlineStr">
        <is>
          <t>Unknown</t>
        </is>
      </c>
      <c r="E400" s="75" t="n"/>
      <c r="F400" s="75" t="n"/>
      <c r="G400" s="75" t="n"/>
      <c r="H400" s="75" t="n"/>
      <c r="I400" s="75" t="n"/>
      <c r="J400" s="75" t="inlineStr">
        <is>
          <t>Other</t>
        </is>
      </c>
      <c r="K400" s="75" t="n"/>
      <c r="L400" s="75" t="n"/>
      <c r="M400" s="75" t="n"/>
      <c r="N400" s="75" t="n"/>
      <c r="O400" s="75" t="n"/>
      <c r="P400" s="75" t="n"/>
      <c r="Q400" s="75" t="n"/>
      <c r="R400" s="75" t="n"/>
      <c r="S400" s="75" t="n"/>
      <c r="T400" s="76" t="n"/>
      <c r="U400" s="75" t="n"/>
      <c r="V400" s="76" t="n"/>
      <c r="Y400" s="153" t="inlineStr">
        <is>
          <t>Global Inv - Mar 2026</t>
        </is>
      </c>
      <c r="Z400" s="153" t="inlineStr">
        <is>
          <t>Structural/thermal finite element analysis (FEA) simulation software</t>
        </is>
      </c>
      <c r="AA400" s="153" t="inlineStr">
        <is>
          <t>Engineering</t>
        </is>
      </c>
      <c r="AB400" s="121">
        <f>VLOOKUP(AA400,CategorySummaryTable[],2,FALSE)</f>
        <v/>
      </c>
    </row>
    <row r="401" ht="80" customHeight="1" s="142">
      <c r="B401" s="77" t="inlineStr">
        <is>
          <t>Pyris ES</t>
        </is>
      </c>
      <c r="C401" s="75" t="n"/>
      <c r="D401" s="75" t="inlineStr">
        <is>
          <t>Unknown</t>
        </is>
      </c>
      <c r="E401" s="75" t="inlineStr">
        <is>
          <t>Pyris</t>
        </is>
      </c>
      <c r="F401" s="75" t="n"/>
      <c r="G401" s="75" t="n"/>
      <c r="H401" s="75" t="inlineStr">
        <is>
          <t>Boston, Plainsboro 105</t>
        </is>
      </c>
      <c r="I401" s="75" t="inlineStr">
        <is>
          <t>Yes</t>
        </is>
      </c>
      <c r="J401" s="75" t="n"/>
      <c r="K401" s="75" t="inlineStr">
        <is>
          <t>On Premises (Client/Server)</t>
        </is>
      </c>
      <c r="L401" s="75" t="n"/>
      <c r="M401" s="75" t="n"/>
      <c r="N401" s="75" t="n"/>
      <c r="O401" s="75" t="n"/>
      <c r="P401" s="75" t="n"/>
      <c r="Q401" s="75" t="inlineStr">
        <is>
          <t>Y</t>
        </is>
      </c>
      <c r="R401" s="75" t="n"/>
      <c r="S401" s="75" t="n"/>
      <c r="T401" s="76" t="n"/>
      <c r="U401" s="75" t="n"/>
      <c r="V401" s="76" t="n"/>
      <c r="Y401" s="153" t="inlineStr">
        <is>
          <t>Global Inv - Mar 2026</t>
        </is>
      </c>
      <c r="Z401" s="153" t="inlineStr">
        <is>
          <t>Thermal analysis instrument control and data analysis software</t>
        </is>
      </c>
      <c r="AA401" s="153" t="inlineStr">
        <is>
          <t>Clinical Manufacturing Process</t>
        </is>
      </c>
      <c r="AB401" s="121">
        <f>VLOOKUP(AA401,CategorySummaryTable[],2,FALSE)</f>
        <v/>
      </c>
    </row>
    <row r="402" ht="80" customHeight="1" s="142">
      <c r="B402" s="77" t="inlineStr">
        <is>
          <t>PYROS EQS</t>
        </is>
      </c>
      <c r="C402" s="75" t="n"/>
      <c r="D402" s="75" t="inlineStr">
        <is>
          <t>Unknown</t>
        </is>
      </c>
      <c r="E402" s="75" t="inlineStr">
        <is>
          <t>Associates of Cape Cod</t>
        </is>
      </c>
      <c r="F402" s="75" t="n"/>
      <c r="G402" s="75" t="n"/>
      <c r="H402" s="75" t="inlineStr">
        <is>
          <t>Boston, Kiel, Plainsboro Corp</t>
        </is>
      </c>
      <c r="I402" s="75" t="n"/>
      <c r="J402" s="75" t="n"/>
      <c r="K402" s="75" t="inlineStr">
        <is>
          <t>Desktop</t>
        </is>
      </c>
      <c r="L402" s="75" t="n"/>
      <c r="M402" s="75" t="n"/>
      <c r="N402" s="75" t="n"/>
      <c r="O402" s="75" t="n"/>
      <c r="P402" s="75" t="n"/>
      <c r="Q402" s="75" t="inlineStr">
        <is>
          <t>Y</t>
        </is>
      </c>
      <c r="R402" s="75" t="n"/>
      <c r="S402" s="75" t="n"/>
      <c r="T402" s="76" t="n"/>
      <c r="U402" s="75" t="n"/>
      <c r="V402" s="76" t="n"/>
      <c r="Y402" s="153" t="inlineStr">
        <is>
          <t>Global Inv - Mar 2026</t>
        </is>
      </c>
      <c r="Z402" s="153" t="inlineStr">
        <is>
          <t>Bacterial endotoxin quantitation/analysis software</t>
        </is>
      </c>
      <c r="AA402" s="153" t="inlineStr">
        <is>
          <t>Clinical Manufacturing Process</t>
        </is>
      </c>
      <c r="AB402" s="121">
        <f>VLOOKUP(AA402,CategorySummaryTable[],2,FALSE)</f>
        <v/>
      </c>
    </row>
    <row r="403" ht="80" customHeight="1" s="142">
      <c r="B403" s="80" t="inlineStr">
        <is>
          <t>QC Pac</t>
        </is>
      </c>
      <c r="C403" s="75" t="inlineStr">
        <is>
          <t>Quality control tool to filfill regulatory requirements</t>
        </is>
      </c>
      <c r="D403" s="75" t="inlineStr">
        <is>
          <t>Unknown</t>
        </is>
      </c>
      <c r="E403" s="75" t="inlineStr">
        <is>
          <t>Tecan</t>
        </is>
      </c>
      <c r="F403" s="75" t="n"/>
      <c r="G403" s="75" t="n"/>
      <c r="H403" s="75" t="n"/>
      <c r="I403" s="75" t="n"/>
      <c r="J403" s="75" t="inlineStr">
        <is>
          <t>Other</t>
        </is>
      </c>
      <c r="K403" s="75" t="n"/>
      <c r="L403" s="75" t="n"/>
      <c r="M403" s="75" t="n"/>
      <c r="N403" s="75" t="n"/>
      <c r="O403" s="75" t="n"/>
      <c r="P403" s="75" t="n"/>
      <c r="Q403" s="75" t="n"/>
      <c r="R403" s="75" t="n"/>
      <c r="S403" s="75" t="n"/>
      <c r="T403" s="76" t="n"/>
      <c r="U403" s="75" t="n"/>
      <c r="V403" s="76" t="n"/>
      <c r="Y403" s="153" t="inlineStr">
        <is>
          <t>Global Inv - Mar 2026</t>
        </is>
      </c>
      <c r="Z403" s="153" t="inlineStr">
        <is>
          <t>Quality control / instrument qualification software for microplate readers</t>
        </is>
      </c>
      <c r="AA403" s="153" t="inlineStr">
        <is>
          <t>Clinical Manufacturing Process</t>
        </is>
      </c>
      <c r="AB403" s="121">
        <f>VLOOKUP(AA403,CategorySummaryTable[],2,FALSE)</f>
        <v/>
      </c>
    </row>
    <row r="404" ht="80" customHeight="1" s="142">
      <c r="B404" s="56" t="inlineStr">
        <is>
          <t>QCBD - Quality Collaboration by Design - Enterprise Edition</t>
        </is>
      </c>
      <c r="C404" s="75" t="n"/>
      <c r="D404" s="75" t="inlineStr">
        <is>
          <t>Unknown</t>
        </is>
      </c>
      <c r="E404" s="75" t="inlineStr">
        <is>
          <t>CAMA Software</t>
        </is>
      </c>
      <c r="F404" s="75" t="n"/>
      <c r="G404" s="75" t="n"/>
      <c r="H404" s="75" t="inlineStr">
        <is>
          <t>Billerica, Plainsboro</t>
        </is>
      </c>
      <c r="I404" s="75" t="inlineStr">
        <is>
          <t>Yes</t>
        </is>
      </c>
      <c r="J404" s="75" t="n"/>
      <c r="K404" s="75" t="inlineStr">
        <is>
          <t>On Premises (Client/Server)</t>
        </is>
      </c>
      <c r="L404" s="75" t="n"/>
      <c r="M404" s="75" t="n"/>
      <c r="N404" s="75" t="n"/>
      <c r="O404" s="75" t="n"/>
      <c r="P404" s="75" t="n"/>
      <c r="Q404" s="75" t="inlineStr">
        <is>
          <t>N</t>
        </is>
      </c>
      <c r="R404" s="75" t="n"/>
      <c r="S404" s="75" t="n"/>
      <c r="T404" s="76" t="n"/>
      <c r="U404" s="75" t="n"/>
      <c r="V404" s="76" t="n"/>
      <c r="Y404" s="153" t="inlineStr">
        <is>
          <t>Global Inv - Mar 2026</t>
        </is>
      </c>
      <c r="Z404" s="153" t="inlineStr">
        <is>
          <t>Quality management system (QMS) software for manufacturers</t>
        </is>
      </c>
      <c r="AA404" s="153" t="inlineStr">
        <is>
          <t>Quality and Validation</t>
        </is>
      </c>
      <c r="AB404" s="121">
        <f>VLOOKUP(AA404,CategorySummaryTable[],2,FALSE)</f>
        <v/>
      </c>
    </row>
    <row r="405" ht="80" customHeight="1" s="142">
      <c r="B405" s="80" t="inlineStr">
        <is>
          <t>Qfind</t>
        </is>
      </c>
      <c r="C405" s="75" t="inlineStr">
        <is>
          <t>Hadoop platform consolidates data from Kallik, Agile, EBS, and Integra App (Integra product catalog).</t>
        </is>
      </c>
      <c r="D405" s="75" t="inlineStr">
        <is>
          <t>Unknown</t>
        </is>
      </c>
      <c r="E405" s="75" t="inlineStr">
        <is>
          <t>QNAP</t>
        </is>
      </c>
      <c r="F405" s="75" t="n"/>
      <c r="G405" s="75" t="n"/>
      <c r="H405" s="75" t="inlineStr">
        <is>
          <t>US</t>
        </is>
      </c>
      <c r="I405" s="75" t="inlineStr">
        <is>
          <t>Yes</t>
        </is>
      </c>
      <c r="J405" s="75" t="n"/>
      <c r="K405" s="75" t="n"/>
      <c r="L405" s="75" t="n"/>
      <c r="M405" s="75" t="n"/>
      <c r="N405" s="75" t="inlineStr">
        <is>
          <t>Yes</t>
        </is>
      </c>
      <c r="O405" s="75" t="n"/>
      <c r="P405" s="75" t="n"/>
      <c r="Q405" s="75" t="inlineStr">
        <is>
          <t>No</t>
        </is>
      </c>
      <c r="R405" s="75" t="n"/>
      <c r="S405" s="75" t="n"/>
      <c r="T405" s="76" t="n"/>
      <c r="U405" s="75" t="inlineStr">
        <is>
          <t>Vince suggested the name is changed to qSIM and to check with Amit</t>
        </is>
      </c>
      <c r="V405" s="76" t="n"/>
      <c r="Y405" s="153" t="inlineStr">
        <is>
          <t>Global Inv - Mar 2026</t>
        </is>
      </c>
      <c r="Z405" s="153" t="inlineStr">
        <is>
          <t>NA</t>
        </is>
      </c>
      <c r="AA405" s="153" t="inlineStr">
        <is>
          <t>Data and Analytics</t>
        </is>
      </c>
      <c r="AB405" s="121">
        <f>VLOOKUP(AA405,CategorySummaryTable[],2,FALSE)</f>
        <v/>
      </c>
    </row>
    <row r="406" ht="80" customHeight="1" s="142">
      <c r="B406" s="91" t="inlineStr">
        <is>
          <t>Q-Radar</t>
        </is>
      </c>
      <c r="C406" s="75" t="inlineStr">
        <is>
          <t>Monitors for security events on all network devices.</t>
        </is>
      </c>
      <c r="D406" s="75" t="inlineStr">
        <is>
          <t>Active</t>
        </is>
      </c>
      <c r="E406" s="75" t="inlineStr">
        <is>
          <t>IBM</t>
        </is>
      </c>
      <c r="F406" s="75" t="n"/>
      <c r="G406" s="75" t="inlineStr">
        <is>
          <t>Enterprise</t>
        </is>
      </c>
      <c r="H406" s="75" t="n"/>
      <c r="I406" s="75" t="inlineStr">
        <is>
          <t>Yes</t>
        </is>
      </c>
      <c r="J406" s="75" t="n"/>
      <c r="K406" s="75" t="inlineStr">
        <is>
          <t>On Premises (Client/Server)</t>
        </is>
      </c>
      <c r="L406" s="75" t="n"/>
      <c r="M406" s="75" t="inlineStr">
        <is>
          <t>No</t>
        </is>
      </c>
      <c r="N406" s="75" t="n"/>
      <c r="O406" s="75" t="n"/>
      <c r="P406" s="75" t="n"/>
      <c r="Q406" s="75" t="inlineStr">
        <is>
          <t>No</t>
        </is>
      </c>
      <c r="R406" s="75" t="n"/>
      <c r="S406" s="75" t="inlineStr">
        <is>
          <t>Trevor Very / Archana Sinha</t>
        </is>
      </c>
      <c r="T406" s="76" t="n">
        <v>44515</v>
      </c>
      <c r="U406" s="75" t="inlineStr">
        <is>
          <t>Nov 15, 2021 via Trevor Very / Archana Sinha</t>
        </is>
      </c>
      <c r="V406" s="76" t="n">
        <v>44515</v>
      </c>
      <c r="Y406" s="153" t="inlineStr">
        <is>
          <t>Global Inv - Mar 2026</t>
        </is>
      </c>
      <c r="Z406" s="153" t="inlineStr">
        <is>
          <t>Security information and event management (SIEM) software</t>
        </is>
      </c>
      <c r="AA406" s="153" t="inlineStr">
        <is>
          <t>Data and Analytics</t>
        </is>
      </c>
      <c r="AB406" s="121">
        <f>VLOOKUP(AA406,CategorySummaryTable[],2,FALSE)</f>
        <v/>
      </c>
    </row>
    <row r="407" ht="80" customHeight="1" s="142">
      <c r="B407" s="77" t="inlineStr">
        <is>
          <t>Quality Companion</t>
        </is>
      </c>
      <c r="C407" s="75" t="n"/>
      <c r="D407" s="75" t="inlineStr">
        <is>
          <t>Unknown</t>
        </is>
      </c>
      <c r="E407" s="75" t="inlineStr">
        <is>
          <t>Minitab, Inc.</t>
        </is>
      </c>
      <c r="F407" s="75" t="n"/>
      <c r="G407" s="75" t="n"/>
      <c r="H407" s="75" t="inlineStr">
        <is>
          <t>Puerto Rico</t>
        </is>
      </c>
      <c r="I407" s="75" t="n"/>
      <c r="J407" s="75" t="n"/>
      <c r="K407" s="75" t="inlineStr">
        <is>
          <t>Desktop</t>
        </is>
      </c>
      <c r="L407" s="75" t="n"/>
      <c r="M407" s="75" t="n"/>
      <c r="N407" s="75" t="n"/>
      <c r="O407" s="75" t="n"/>
      <c r="P407" s="75" t="n"/>
      <c r="Q407" s="75" t="inlineStr">
        <is>
          <t>N</t>
        </is>
      </c>
      <c r="R407" s="75" t="n"/>
      <c r="S407" s="75" t="n"/>
      <c r="T407" s="76" t="n"/>
      <c r="U407" s="75" t="n"/>
      <c r="V407" s="76" t="n"/>
      <c r="Y407" s="153" t="inlineStr">
        <is>
          <t>Global Inv - Mar 2026</t>
        </is>
      </c>
      <c r="Z407" s="153" t="inlineStr">
        <is>
          <t>Process improvement / Six Sigma project management software</t>
        </is>
      </c>
      <c r="AA407" s="153" t="inlineStr">
        <is>
          <t>Data and Analytics</t>
        </is>
      </c>
      <c r="AB407" s="121">
        <f>VLOOKUP(AA407,CategorySummaryTable[],2,FALSE)</f>
        <v/>
      </c>
    </row>
    <row r="408" ht="80" customHeight="1" s="142">
      <c r="B408" s="80" t="inlineStr">
        <is>
          <t>Qualtrics Online Survey</t>
        </is>
      </c>
      <c r="C408" s="75" t="inlineStr">
        <is>
          <t>Experience management/ feedback</t>
        </is>
      </c>
      <c r="D408" s="75" t="inlineStr">
        <is>
          <t>Unknown</t>
        </is>
      </c>
      <c r="E408" s="75" t="inlineStr">
        <is>
          <t>Qualtrics</t>
        </is>
      </c>
      <c r="F408" s="75" t="n"/>
      <c r="G408" s="75" t="n"/>
      <c r="H408" s="75" t="n"/>
      <c r="I408" s="75" t="n"/>
      <c r="J408" s="75" t="inlineStr">
        <is>
          <t>Other</t>
        </is>
      </c>
      <c r="K408" s="75" t="n"/>
      <c r="L408" s="75" t="n"/>
      <c r="M408" s="75" t="n"/>
      <c r="N408" s="75" t="n"/>
      <c r="O408" s="75" t="n"/>
      <c r="P408" s="75" t="n"/>
      <c r="Q408" s="75" t="n"/>
      <c r="R408" s="75" t="n"/>
      <c r="S408" s="75" t="n"/>
      <c r="T408" s="76" t="n"/>
      <c r="U408" s="75" t="n"/>
      <c r="V408" s="76" t="n"/>
      <c r="Y408" s="153" t="inlineStr">
        <is>
          <t>Global Inv - Mar 2026</t>
        </is>
      </c>
      <c r="Z408" s="153" t="inlineStr">
        <is>
          <t>Online survey and experience management software</t>
        </is>
      </c>
      <c r="AA408" s="153" t="inlineStr">
        <is>
          <t>Marketing</t>
        </is>
      </c>
      <c r="AB408" s="121">
        <f>VLOOKUP(AA408,CategorySummaryTable[],2,FALSE)</f>
        <v/>
      </c>
    </row>
    <row r="409" ht="80" customHeight="1" s="142">
      <c r="B409" s="77" t="inlineStr">
        <is>
          <t>Quark Express</t>
        </is>
      </c>
      <c r="C409" s="75" t="n"/>
      <c r="D409" s="75" t="inlineStr">
        <is>
          <t>Unknown</t>
        </is>
      </c>
      <c r="E409" s="75" t="inlineStr">
        <is>
          <t>Quark</t>
        </is>
      </c>
      <c r="F409" s="75" t="n"/>
      <c r="G409" s="75" t="n"/>
      <c r="H409" s="75" t="inlineStr">
        <is>
          <t>Puerto Rico</t>
        </is>
      </c>
      <c r="I409" s="75" t="n"/>
      <c r="J409" s="75" t="n"/>
      <c r="K409" s="75" t="inlineStr">
        <is>
          <t>Desktop</t>
        </is>
      </c>
      <c r="L409" s="75" t="n"/>
      <c r="M409" s="75" t="n"/>
      <c r="N409" s="75" t="n"/>
      <c r="O409" s="75" t="n"/>
      <c r="P409" s="75" t="n"/>
      <c r="Q409" s="75" t="inlineStr">
        <is>
          <t>Y</t>
        </is>
      </c>
      <c r="R409" s="75" t="n"/>
      <c r="S409" s="75" t="n"/>
      <c r="T409" s="76" t="n"/>
      <c r="U409" s="75" t="n"/>
      <c r="V409" s="76" t="n"/>
      <c r="Y409" s="153" t="inlineStr">
        <is>
          <t>Global Inv - Mar 2026</t>
        </is>
      </c>
      <c r="Z409" s="153" t="inlineStr">
        <is>
          <t>Desktop publishing / page layout software</t>
        </is>
      </c>
      <c r="AA409" s="153" t="inlineStr">
        <is>
          <t>Marketing</t>
        </is>
      </c>
      <c r="AB409" s="121">
        <f>VLOOKUP(AA409,CategorySummaryTable[],2,FALSE)</f>
        <v/>
      </c>
    </row>
    <row r="410" ht="80" customHeight="1" s="142">
      <c r="B410" s="77" t="inlineStr">
        <is>
          <t>Quark Xpress</t>
        </is>
      </c>
      <c r="C410" s="75" t="n"/>
      <c r="D410" s="75" t="inlineStr">
        <is>
          <t>Unknown</t>
        </is>
      </c>
      <c r="E410" s="75" t="inlineStr">
        <is>
          <t>Quark</t>
        </is>
      </c>
      <c r="F410" s="75" t="n"/>
      <c r="G410" s="75" t="n"/>
      <c r="H410" s="75" t="inlineStr">
        <is>
          <t>Puerto Rico</t>
        </is>
      </c>
      <c r="I410" s="75" t="n"/>
      <c r="J410" s="75" t="n"/>
      <c r="K410" s="75" t="n"/>
      <c r="L410" s="75" t="n"/>
      <c r="M410" s="75" t="n"/>
      <c r="N410" s="75" t="n"/>
      <c r="O410" s="75" t="n"/>
      <c r="P410" s="75" t="n"/>
      <c r="Q410" s="75" t="inlineStr">
        <is>
          <t>Y</t>
        </is>
      </c>
      <c r="R410" s="75" t="n"/>
      <c r="S410" s="75" t="n"/>
      <c r="T410" s="76" t="n"/>
      <c r="U410" s="75" t="n"/>
      <c r="V410" s="76" t="n"/>
      <c r="Y410" s="153" t="inlineStr">
        <is>
          <t>Global Inv - Mar 2026</t>
        </is>
      </c>
      <c r="Z410" s="153" t="inlineStr">
        <is>
          <t>Desktop publishing / page layout software</t>
        </is>
      </c>
      <c r="AA410" s="153" t="inlineStr">
        <is>
          <t>Marketing</t>
        </is>
      </c>
      <c r="AB410" s="121">
        <f>VLOOKUP(AA410,CategorySummaryTable[],2,FALSE)</f>
        <v/>
      </c>
    </row>
    <row r="411" ht="64" customHeight="1" s="142">
      <c r="B411" s="77" t="inlineStr">
        <is>
          <t>Quest Toad</t>
        </is>
      </c>
      <c r="C411" s="75" t="n"/>
      <c r="D411" s="75" t="inlineStr">
        <is>
          <t>Unknown</t>
        </is>
      </c>
      <c r="E411" s="75" t="inlineStr">
        <is>
          <t>Quest</t>
        </is>
      </c>
      <c r="F411" s="75" t="n"/>
      <c r="G411" s="75" t="n"/>
      <c r="H411" s="75" t="inlineStr">
        <is>
          <t>Plainsboro Corp</t>
        </is>
      </c>
      <c r="I411" s="75" t="n"/>
      <c r="J411" s="75" t="n"/>
      <c r="K411" s="75" t="inlineStr">
        <is>
          <t>Desktop</t>
        </is>
      </c>
      <c r="L411" s="75" t="n"/>
      <c r="M411" s="75" t="n"/>
      <c r="N411" s="75" t="n"/>
      <c r="O411" s="75" t="n"/>
      <c r="P411" s="75" t="n"/>
      <c r="Q411" s="75" t="inlineStr">
        <is>
          <t>N</t>
        </is>
      </c>
      <c r="R411" s="75" t="n"/>
      <c r="S411" s="75" t="n"/>
      <c r="T411" s="76" t="n"/>
      <c r="U411" s="75" t="n"/>
      <c r="V411" s="76" t="n"/>
      <c r="Y411" s="153" t="inlineStr">
        <is>
          <t>Global Inv - Mar 2026</t>
        </is>
      </c>
      <c r="Z411" s="153" t="inlineStr">
        <is>
          <t>Database development and administration tool</t>
        </is>
      </c>
      <c r="AA411" s="153" t="inlineStr">
        <is>
          <t>IT Operations</t>
        </is>
      </c>
      <c r="AB411" s="121">
        <f>VLOOKUP(AA411,CategorySummaryTable[],2,FALSE)</f>
        <v/>
      </c>
    </row>
    <row r="412" ht="64" customHeight="1" s="142">
      <c r="B412" s="77" t="inlineStr">
        <is>
          <t>QuickBasic</t>
        </is>
      </c>
      <c r="C412" s="75" t="n"/>
      <c r="D412" s="75" t="inlineStr">
        <is>
          <t>Unknown</t>
        </is>
      </c>
      <c r="E412" s="75" t="inlineStr">
        <is>
          <t>Quickbasic</t>
        </is>
      </c>
      <c r="F412" s="75" t="n"/>
      <c r="G412" s="75" t="n"/>
      <c r="H412" s="75" t="inlineStr">
        <is>
          <t>Puerto Rico</t>
        </is>
      </c>
      <c r="I412" s="75" t="n"/>
      <c r="J412" s="75" t="n"/>
      <c r="K412" s="75" t="inlineStr">
        <is>
          <t>Desktop</t>
        </is>
      </c>
      <c r="L412" s="75" t="n"/>
      <c r="M412" s="75" t="n"/>
      <c r="N412" s="75" t="n"/>
      <c r="O412" s="75" t="n"/>
      <c r="P412" s="75" t="n"/>
      <c r="Q412" s="75" t="inlineStr">
        <is>
          <t>N</t>
        </is>
      </c>
      <c r="R412" s="75" t="n"/>
      <c r="S412" s="75" t="n"/>
      <c r="T412" s="76" t="n"/>
      <c r="U412" s="75" t="n"/>
      <c r="V412" s="76" t="n"/>
      <c r="Y412" s="153" t="inlineStr">
        <is>
          <t>Global Inv - Mar 2026</t>
        </is>
      </c>
      <c r="Z412" s="153" t="inlineStr">
        <is>
          <t>BASIC programming language compiler / development environment</t>
        </is>
      </c>
      <c r="AA412" s="153" t="inlineStr">
        <is>
          <t>IT Operations</t>
        </is>
      </c>
      <c r="AB412" s="121">
        <f>VLOOKUP(AA412,CategorySummaryTable[],2,FALSE)</f>
        <v/>
      </c>
    </row>
    <row r="413" ht="64" customHeight="1" s="142">
      <c r="B413" s="77" t="inlineStr">
        <is>
          <t>QuickCheckPC</t>
        </is>
      </c>
      <c r="C413" s="75" t="n"/>
      <c r="D413" s="75" t="inlineStr">
        <is>
          <t>Unknown</t>
        </is>
      </c>
      <c r="E413" s="75" t="inlineStr">
        <is>
          <t>Quickcheckpc</t>
        </is>
      </c>
      <c r="F413" s="75" t="n"/>
      <c r="G413" s="75" t="n"/>
      <c r="H413" s="75" t="inlineStr">
        <is>
          <t>Billerica</t>
        </is>
      </c>
      <c r="I413" s="75" t="n"/>
      <c r="J413" s="75" t="n"/>
      <c r="K413" s="75" t="inlineStr">
        <is>
          <t>Desktop</t>
        </is>
      </c>
      <c r="L413" s="75" t="n"/>
      <c r="M413" s="75" t="n"/>
      <c r="N413" s="75" t="n"/>
      <c r="O413" s="75" t="n"/>
      <c r="P413" s="75" t="n"/>
      <c r="Q413" s="75" t="inlineStr">
        <is>
          <t>N</t>
        </is>
      </c>
      <c r="R413" s="75" t="n"/>
      <c r="S413" s="75" t="n"/>
      <c r="T413" s="76" t="n"/>
      <c r="U413" s="75" t="inlineStr">
        <is>
          <t>Unknown IS Owner</t>
        </is>
      </c>
      <c r="V413" s="76" t="n"/>
      <c r="Y413" s="153" t="inlineStr">
        <is>
          <t>Global Inv - Mar 2026</t>
        </is>
      </c>
      <c r="Z413" s="153" t="inlineStr">
        <is>
          <t>NA</t>
        </is>
      </c>
      <c r="AA413" s="153" t="inlineStr">
        <is>
          <t>IT Operations</t>
        </is>
      </c>
      <c r="AB413" s="121">
        <f>VLOOKUP(AA413,CategorySummaryTable[],2,FALSE)</f>
        <v/>
      </c>
    </row>
    <row r="414" ht="64" customHeight="1" s="142">
      <c r="B414" s="80" t="inlineStr">
        <is>
          <t>QuickTime</t>
        </is>
      </c>
      <c r="C414" s="75" t="inlineStr">
        <is>
          <t>multimedia application</t>
        </is>
      </c>
      <c r="D414" s="75" t="inlineStr">
        <is>
          <t>Unknown</t>
        </is>
      </c>
      <c r="E414" s="75" t="inlineStr">
        <is>
          <t>Apple</t>
        </is>
      </c>
      <c r="F414" s="75" t="n"/>
      <c r="G414" s="75" t="n"/>
      <c r="H414" s="75" t="n"/>
      <c r="I414" s="75" t="n"/>
      <c r="J414" s="75" t="inlineStr">
        <is>
          <t>Other</t>
        </is>
      </c>
      <c r="K414" s="75" t="n"/>
      <c r="L414" s="75" t="n"/>
      <c r="M414" s="75" t="n"/>
      <c r="N414" s="75" t="n"/>
      <c r="O414" s="75" t="n"/>
      <c r="P414" s="75" t="n"/>
      <c r="Q414" s="75" t="n"/>
      <c r="R414" s="75" t="n"/>
      <c r="S414" s="75" t="n"/>
      <c r="T414" s="76" t="n"/>
      <c r="U414" s="75" t="n"/>
      <c r="V414" s="76" t="n"/>
      <c r="Y414" s="153" t="inlineStr">
        <is>
          <t>Global Inv - Mar 2026</t>
        </is>
      </c>
      <c r="Z414" s="153" t="inlineStr">
        <is>
          <t>Multimedia player software</t>
        </is>
      </c>
      <c r="AA414" s="153" t="inlineStr">
        <is>
          <t>IT Operations</t>
        </is>
      </c>
      <c r="AB414" s="121">
        <f>VLOOKUP(AA414,CategorySummaryTable[],2,FALSE)</f>
        <v/>
      </c>
    </row>
    <row r="415" ht="80" customHeight="1" s="142">
      <c r="B415" s="57" t="inlineStr">
        <is>
          <t>QV Pak</t>
        </is>
      </c>
      <c r="C415" s="75" t="inlineStr">
        <is>
          <t>Marked for deletetion</t>
        </is>
      </c>
      <c r="D415" s="75" t="inlineStr">
        <is>
          <t>Unknown</t>
        </is>
      </c>
      <c r="E415" s="75" t="inlineStr">
        <is>
          <t>Mitutoyo</t>
        </is>
      </c>
      <c r="F415" s="75" t="n"/>
      <c r="G415" s="75" t="n"/>
      <c r="H415" s="75" t="inlineStr">
        <is>
          <t>Cincinnati</t>
        </is>
      </c>
      <c r="I415" s="75" t="n"/>
      <c r="J415" s="75" t="n"/>
      <c r="K415" s="75" t="inlineStr">
        <is>
          <t>Desktop</t>
        </is>
      </c>
      <c r="L415" s="75" t="n"/>
      <c r="M415" s="75" t="n"/>
      <c r="N415" s="75" t="n"/>
      <c r="O415" s="75" t="n"/>
      <c r="P415" s="75" t="n"/>
      <c r="Q415" s="75" t="inlineStr">
        <is>
          <t>No</t>
        </is>
      </c>
      <c r="R415" s="75" t="n"/>
      <c r="S415" s="75" t="inlineStr">
        <is>
          <t>Michael Patterson</t>
        </is>
      </c>
      <c r="T415" s="76" t="n">
        <v>44516</v>
      </c>
      <c r="U415" s="75" t="inlineStr">
        <is>
          <t>Nov 16, 2021 via Michael Patterson</t>
        </is>
      </c>
      <c r="V415" s="76" t="n">
        <v>44516</v>
      </c>
      <c r="Y415" s="153" t="inlineStr">
        <is>
          <t>Global Inv - Mar 2026</t>
        </is>
      </c>
      <c r="Z415" s="153" t="inlineStr">
        <is>
          <t>Vision measuring machine (metrology) software</t>
        </is>
      </c>
      <c r="AA415" s="153" t="inlineStr">
        <is>
          <t>Clinical Manufacturing Process</t>
        </is>
      </c>
      <c r="AB415" s="121">
        <f>VLOOKUP(AA415,CategorySummaryTable[],2,FALSE)</f>
        <v/>
      </c>
    </row>
    <row r="416" ht="80" customHeight="1" s="142">
      <c r="B416" s="77" t="inlineStr">
        <is>
          <t>R Controller</t>
        </is>
      </c>
      <c r="C416" s="75" t="n"/>
      <c r="D416" s="75" t="inlineStr">
        <is>
          <t>Unknown</t>
        </is>
      </c>
      <c r="E416" s="75" t="inlineStr">
        <is>
          <t>R</t>
        </is>
      </c>
      <c r="F416" s="75" t="n"/>
      <c r="G416" s="75" t="n"/>
      <c r="H416" s="75" t="inlineStr">
        <is>
          <t>Puerto Rico</t>
        </is>
      </c>
      <c r="I416" s="75" t="n"/>
      <c r="J416" s="75" t="n"/>
      <c r="K416" s="75" t="inlineStr">
        <is>
          <t>Desktop</t>
        </is>
      </c>
      <c r="L416" s="75" t="n"/>
      <c r="M416" s="75" t="n"/>
      <c r="N416" s="75" t="n"/>
      <c r="O416" s="75" t="n"/>
      <c r="P416" s="75" t="n"/>
      <c r="Q416" s="75" t="inlineStr">
        <is>
          <t>Y</t>
        </is>
      </c>
      <c r="R416" s="75" t="n"/>
      <c r="S416" s="75" t="n"/>
      <c r="T416" s="76" t="n"/>
      <c r="U416" s="75" t="n"/>
      <c r="V416" s="76" t="n"/>
      <c r="Y416" s="153" t="inlineStr">
        <is>
          <t>Global Inv - Mar 2026</t>
        </is>
      </c>
      <c r="Z416" s="153" t="inlineStr">
        <is>
          <t>NA</t>
        </is>
      </c>
      <c r="AA416" s="153" t="inlineStr">
        <is>
          <t>Data and Analytics</t>
        </is>
      </c>
      <c r="AB416" s="121">
        <f>VLOOKUP(AA416,CategorySummaryTable[],2,FALSE)</f>
        <v/>
      </c>
    </row>
    <row r="417" ht="80" customHeight="1" s="142">
      <c r="B417" s="57" t="inlineStr">
        <is>
          <t>R&amp;D Machine Learning Image analysis</t>
        </is>
      </c>
      <c r="C417" s="75" t="inlineStr">
        <is>
          <t>Platform service for R&amp;D Product Development Data, hosted by Azure. We license through Deep Cell Segmentation (DCS) labs
https://integralife.sharepoint.com/sites/Azure/ML4ImageAnal/Forms/AllItems.aspx</t>
        </is>
      </c>
      <c r="D417" s="75" t="inlineStr">
        <is>
          <t>Active</t>
        </is>
      </c>
      <c r="E417" s="75" t="inlineStr">
        <is>
          <t>Draycon Labs</t>
        </is>
      </c>
      <c r="F417" s="75" t="n"/>
      <c r="G417" s="75" t="n"/>
      <c r="H417" s="75" t="inlineStr">
        <is>
          <t>Plainsboro Corp</t>
        </is>
      </c>
      <c r="I417" s="75" t="n"/>
      <c r="J417" s="75" t="inlineStr">
        <is>
          <t>Azure</t>
        </is>
      </c>
      <c r="K417" s="75" t="inlineStr">
        <is>
          <t>Web</t>
        </is>
      </c>
      <c r="L417" s="75" t="n"/>
      <c r="M417" s="75" t="inlineStr">
        <is>
          <t>Yes</t>
        </is>
      </c>
      <c r="N417" s="75" t="n"/>
      <c r="O417" s="75" t="n"/>
      <c r="P417" s="75" t="inlineStr">
        <is>
          <t>T4</t>
        </is>
      </c>
      <c r="Q417" s="75" t="inlineStr">
        <is>
          <t>No</t>
        </is>
      </c>
      <c r="R417" s="75" t="n"/>
      <c r="S417" s="75" t="inlineStr">
        <is>
          <t>Vincent Lu; Andrew Mesaris; David Zarduski</t>
        </is>
      </c>
      <c r="T417" s="76" t="n">
        <v>44648</v>
      </c>
      <c r="U417" s="75" t="inlineStr">
        <is>
          <t>March 28, 2022 via Vincent Lu; Andrew Mesaris; David Zarduski</t>
        </is>
      </c>
      <c r="V417" s="76" t="n">
        <v>44648</v>
      </c>
      <c r="Y417" s="153" t="inlineStr">
        <is>
          <t>Global Inv - Mar 2026</t>
        </is>
      </c>
      <c r="Z417" s="153" t="inlineStr">
        <is>
          <t>NA</t>
        </is>
      </c>
      <c r="AA417" s="153" t="inlineStr">
        <is>
          <t>Discovery, Development and PreClinical</t>
        </is>
      </c>
      <c r="AB417" s="121">
        <f>VLOOKUP(AA417,CategorySummaryTable[],2,FALSE)</f>
        <v/>
      </c>
    </row>
    <row r="418" ht="64" customHeight="1" s="142">
      <c r="B418" s="80" t="inlineStr">
        <is>
          <t>Radmin</t>
        </is>
      </c>
      <c r="C418" s="75" t="inlineStr">
        <is>
          <t>Remote desktop</t>
        </is>
      </c>
      <c r="D418" s="75" t="inlineStr">
        <is>
          <t>Unknown</t>
        </is>
      </c>
      <c r="E418" s="75" t="inlineStr">
        <is>
          <t>Radmin/ Famatech International Corp</t>
        </is>
      </c>
      <c r="F418" s="75" t="n"/>
      <c r="G418" s="75" t="n"/>
      <c r="H418" s="75" t="n"/>
      <c r="I418" s="75" t="n"/>
      <c r="J418" s="75" t="inlineStr">
        <is>
          <t>Other</t>
        </is>
      </c>
      <c r="K418" s="75" t="n"/>
      <c r="L418" s="75" t="n"/>
      <c r="M418" s="75" t="n"/>
      <c r="N418" s="75" t="n"/>
      <c r="O418" s="75" t="n"/>
      <c r="P418" s="75" t="n"/>
      <c r="Q418" s="75" t="n"/>
      <c r="R418" s="75" t="n"/>
      <c r="S418" s="75" t="n"/>
      <c r="T418" s="76" t="n"/>
      <c r="U418" s="75" t="n"/>
      <c r="V418" s="76" t="n"/>
      <c r="Y418" s="153" t="inlineStr">
        <is>
          <t>Global Inv - Mar 2026</t>
        </is>
      </c>
      <c r="Z418" s="153" t="inlineStr">
        <is>
          <t>Remote desktop/remote control administration software</t>
        </is>
      </c>
      <c r="AA418" s="153" t="inlineStr">
        <is>
          <t>IT Operations</t>
        </is>
      </c>
      <c r="AB418" s="121">
        <f>VLOOKUP(AA418,CategorySummaryTable[],2,FALSE)</f>
        <v/>
      </c>
    </row>
    <row r="419" ht="64" customHeight="1" s="142">
      <c r="B419" s="57" t="inlineStr">
        <is>
          <t>RapidSVN</t>
        </is>
      </c>
      <c r="C419" s="75" t="inlineStr">
        <is>
          <t>GUI front-end for the Subversion revision system</t>
        </is>
      </c>
      <c r="D419" s="75" t="inlineStr">
        <is>
          <t>Active</t>
        </is>
      </c>
      <c r="E419" s="75" t="inlineStr">
        <is>
          <t>RapidSVN Group</t>
        </is>
      </c>
      <c r="F419" s="75" t="n"/>
      <c r="G419" s="75" t="n"/>
      <c r="H419" s="75" t="inlineStr">
        <is>
          <t>Billerica</t>
        </is>
      </c>
      <c r="I419" s="75" t="n"/>
      <c r="J419" s="75" t="n"/>
      <c r="K419" s="75" t="inlineStr">
        <is>
          <t>Local</t>
        </is>
      </c>
      <c r="L419" s="75" t="n"/>
      <c r="M419" s="75" t="n"/>
      <c r="N419" s="75" t="n"/>
      <c r="O419" s="75" t="n"/>
      <c r="P419" s="75" t="n"/>
      <c r="Q419" s="75" t="inlineStr">
        <is>
          <t>No</t>
        </is>
      </c>
      <c r="R419" s="75" t="n"/>
      <c r="S419" s="75" t="inlineStr">
        <is>
          <t>Gary Beckmann</t>
        </is>
      </c>
      <c r="T419" s="76" t="n">
        <v>44581</v>
      </c>
      <c r="U419" s="75" t="inlineStr">
        <is>
          <t>Jan 20, 2022 via Gary Beckmann</t>
        </is>
      </c>
      <c r="V419" s="76" t="n">
        <v>44581</v>
      </c>
      <c r="Y419" s="153" t="inlineStr">
        <is>
          <t>Global Inv - Mar 2026</t>
        </is>
      </c>
      <c r="Z419" s="153" t="inlineStr">
        <is>
          <t>GUI client for the Subversion (SVN) version control system</t>
        </is>
      </c>
      <c r="AA419" s="153" t="inlineStr">
        <is>
          <t>IT Operations</t>
        </is>
      </c>
      <c r="AB419" s="121">
        <f>VLOOKUP(AA419,CategorySummaryTable[],2,FALSE)</f>
        <v/>
      </c>
    </row>
    <row r="420" ht="64" customHeight="1" s="142">
      <c r="B420" s="80" t="inlineStr">
        <is>
          <t>Recover My Files</t>
        </is>
      </c>
      <c r="C420" s="75" t="inlineStr">
        <is>
          <t>recovery software recovers deleted files emptied from the Windows Recycle Bin, files lost due to the format or re-install of a hard drive, or files removed by a virus, Trojan infection, unexpected system shutdown or software failure</t>
        </is>
      </c>
      <c r="D420" s="75" t="inlineStr">
        <is>
          <t>Unknown</t>
        </is>
      </c>
      <c r="E420" s="75" t="inlineStr">
        <is>
          <t>GetData</t>
        </is>
      </c>
      <c r="F420" s="75" t="n"/>
      <c r="G420" s="75" t="n"/>
      <c r="H420" s="75" t="n"/>
      <c r="I420" s="75" t="n"/>
      <c r="J420" s="75" t="n"/>
      <c r="K420" s="75" t="n"/>
      <c r="L420" s="75" t="n"/>
      <c r="M420" s="75" t="n"/>
      <c r="N420" s="75" t="n"/>
      <c r="O420" s="75" t="n"/>
      <c r="P420" s="75" t="n"/>
      <c r="Q420" s="75" t="n"/>
      <c r="R420" s="75" t="n"/>
      <c r="S420" s="75" t="n"/>
      <c r="T420" s="76" t="n"/>
      <c r="U420" s="75" t="n"/>
      <c r="V420" s="76" t="n"/>
      <c r="Y420" s="153" t="inlineStr">
        <is>
          <t>Global Inv - Mar 2026</t>
        </is>
      </c>
      <c r="Z420" s="153" t="inlineStr">
        <is>
          <t>Data recovery software for deleted or lost files</t>
        </is>
      </c>
      <c r="AA420" s="153" t="inlineStr">
        <is>
          <t>IT Operations</t>
        </is>
      </c>
      <c r="AB420" s="121">
        <f>VLOOKUP(AA420,CategorySummaryTable[],2,FALSE)</f>
        <v/>
      </c>
    </row>
    <row r="421" ht="64" customHeight="1" s="142">
      <c r="B421" s="80" t="inlineStr">
        <is>
          <t>Remote Administrator</t>
        </is>
      </c>
      <c r="C421" s="75" t="n"/>
      <c r="D421" s="75" t="inlineStr">
        <is>
          <t>Unknown</t>
        </is>
      </c>
      <c r="E421" s="75" t="inlineStr">
        <is>
          <t>Microsoft?</t>
        </is>
      </c>
      <c r="F421" s="75" t="n"/>
      <c r="G421" s="75" t="n"/>
      <c r="H421" s="75" t="n"/>
      <c r="I421" s="75" t="n"/>
      <c r="J421" s="75" t="inlineStr">
        <is>
          <t>Other</t>
        </is>
      </c>
      <c r="K421" s="75" t="n"/>
      <c r="L421" s="75" t="n"/>
      <c r="M421" s="75" t="n"/>
      <c r="N421" s="75" t="n"/>
      <c r="O421" s="75" t="n"/>
      <c r="P421" s="75" t="n"/>
      <c r="Q421" s="75" t="n"/>
      <c r="R421" s="75" t="n"/>
      <c r="S421" s="75" t="n"/>
      <c r="T421" s="76" t="n"/>
      <c r="U421" s="75" t="n"/>
      <c r="V421" s="76" t="n"/>
      <c r="Y421" s="153" t="inlineStr">
        <is>
          <t>Global Inv - Mar 2026</t>
        </is>
      </c>
      <c r="Z421" s="153" t="inlineStr">
        <is>
          <t>NA</t>
        </is>
      </c>
      <c r="AA421" s="153" t="inlineStr">
        <is>
          <t>IT Operations</t>
        </is>
      </c>
      <c r="AB421" s="121">
        <f>VLOOKUP(AA421,CategorySummaryTable[],2,FALSE)</f>
        <v/>
      </c>
    </row>
    <row r="422" ht="80" customHeight="1" s="142">
      <c r="B422" s="62" t="inlineStr">
        <is>
          <t>Renishaw Ballbar 20</t>
        </is>
      </c>
      <c r="C422" s="96" t="inlineStr">
        <is>
          <t>Manufacturing Analytics. Marked for deletetion</t>
        </is>
      </c>
      <c r="D422" s="59" t="inlineStr">
        <is>
          <t>Pending feedback from Operations</t>
        </is>
      </c>
      <c r="E422" s="96" t="inlineStr">
        <is>
          <t>Renishaw</t>
        </is>
      </c>
      <c r="F422" s="75" t="n"/>
      <c r="G422" s="75" t="n"/>
      <c r="H422" s="96" t="inlineStr">
        <is>
          <t>Cincinnati</t>
        </is>
      </c>
      <c r="I422" s="96" t="n"/>
      <c r="J422" s="96" t="n"/>
      <c r="K422" s="96" t="inlineStr">
        <is>
          <t>Desktop</t>
        </is>
      </c>
      <c r="L422" s="75" t="n"/>
      <c r="M422" s="96" t="n"/>
      <c r="N422" s="75" t="n"/>
      <c r="O422" s="75" t="n"/>
      <c r="P422" s="97" t="n"/>
      <c r="Q422" s="96" t="inlineStr">
        <is>
          <t>No</t>
        </is>
      </c>
      <c r="R422" s="96" t="n"/>
      <c r="S422" s="59" t="inlineStr">
        <is>
          <t>Michael Patterson</t>
        </is>
      </c>
      <c r="T422" s="98" t="inlineStr">
        <is>
          <t>Nov 22 2021</t>
        </is>
      </c>
      <c r="U422" s="59" t="inlineStr">
        <is>
          <t>Nov 22, 2021 via Michael Patterson- check Status</t>
        </is>
      </c>
      <c r="V422" s="98" t="n"/>
      <c r="Y422" s="153" t="inlineStr">
        <is>
          <t>Global Inv - Mar 2026</t>
        </is>
      </c>
      <c r="Z422" s="153" t="inlineStr">
        <is>
          <t>Calibration/diagnostic software for CNC machine tool accuracy testing</t>
        </is>
      </c>
      <c r="AA422" s="153" t="inlineStr">
        <is>
          <t>Manufacturing</t>
        </is>
      </c>
      <c r="AB422" s="121">
        <f>VLOOKUP(AA422,CategorySummaryTable[],2,FALSE)</f>
        <v/>
      </c>
    </row>
    <row r="423" ht="80" customHeight="1" s="142">
      <c r="B423" s="82" t="inlineStr">
        <is>
          <t>Replicon</t>
        </is>
      </c>
      <c r="C423" s="75" t="n"/>
      <c r="D423" s="75" t="inlineStr">
        <is>
          <t>Not Started</t>
        </is>
      </c>
      <c r="E423" s="75" t="inlineStr">
        <is>
          <t>Replicon</t>
        </is>
      </c>
      <c r="F423" s="75" t="n"/>
      <c r="G423" s="75" t="n"/>
      <c r="H423" s="75" t="inlineStr">
        <is>
          <t>Dublin, Tullamore</t>
        </is>
      </c>
      <c r="I423" s="75" t="n"/>
      <c r="J423" s="75" t="inlineStr">
        <is>
          <t>Other</t>
        </is>
      </c>
      <c r="K423" s="75" t="inlineStr">
        <is>
          <t>SAAS</t>
        </is>
      </c>
      <c r="L423" s="75" t="n"/>
      <c r="M423" s="75" t="n"/>
      <c r="N423" s="75" t="n"/>
      <c r="O423" s="75" t="n"/>
      <c r="P423" s="75" t="n"/>
      <c r="Q423" s="75" t="inlineStr">
        <is>
          <t>No</t>
        </is>
      </c>
      <c r="R423" s="75" t="n"/>
      <c r="S423" s="75" t="n"/>
      <c r="T423" s="76" t="n"/>
      <c r="U423" s="75" t="n"/>
      <c r="V423" s="76" t="n"/>
      <c r="Y423" s="153" t="inlineStr">
        <is>
          <t>Global Inv - Mar 2026</t>
        </is>
      </c>
      <c r="Z423" s="153" t="inlineStr">
        <is>
          <t>Time tracking and project/workforce management software</t>
        </is>
      </c>
      <c r="AA423" s="153" t="inlineStr">
        <is>
          <t>Human Resources and Talent</t>
        </is>
      </c>
      <c r="AB423" s="121">
        <f>VLOOKUP(AA423,CategorySummaryTable[],2,FALSE)</f>
        <v/>
      </c>
    </row>
    <row r="424" ht="80" customHeight="1" s="142">
      <c r="B424" s="80" t="inlineStr">
        <is>
          <t>Resume mirror for HR</t>
        </is>
      </c>
      <c r="C424" s="75" t="inlineStr">
        <is>
          <t>See "HRIS/Resume Mirror Production"</t>
        </is>
      </c>
      <c r="D424" s="75" t="inlineStr">
        <is>
          <t>Unknown</t>
        </is>
      </c>
      <c r="E424" s="75" t="n"/>
      <c r="F424" s="75" t="n"/>
      <c r="G424" s="75" t="n"/>
      <c r="H424" s="75" t="n"/>
      <c r="I424" s="75" t="n"/>
      <c r="J424" s="75" t="inlineStr">
        <is>
          <t>Other</t>
        </is>
      </c>
      <c r="K424" s="75" t="n"/>
      <c r="L424" s="75" t="n"/>
      <c r="M424" s="75" t="n"/>
      <c r="N424" s="75" t="n"/>
      <c r="O424" s="75" t="n"/>
      <c r="P424" s="75" t="n"/>
      <c r="Q424" s="75" t="n"/>
      <c r="R424" s="75" t="n"/>
      <c r="S424" s="75" t="n"/>
      <c r="T424" s="76" t="n"/>
      <c r="U424" s="75" t="n"/>
      <c r="V424" s="76" t="n"/>
      <c r="Y424" s="153" t="inlineStr">
        <is>
          <t>Global Inv - Mar 2026</t>
        </is>
      </c>
      <c r="Z424" s="153" t="inlineStr">
        <is>
          <t>NA</t>
        </is>
      </c>
      <c r="AA424" s="153" t="inlineStr">
        <is>
          <t>Human Resources and Talent</t>
        </is>
      </c>
      <c r="AB424" s="121">
        <f>VLOOKUP(AA424,CategorySummaryTable[],2,FALSE)</f>
        <v/>
      </c>
    </row>
    <row r="425" ht="96" customHeight="1" s="142">
      <c r="B425" s="80" t="inlineStr">
        <is>
          <t>Returns Application</t>
        </is>
      </c>
      <c r="C425" s="75" t="n"/>
      <c r="D425" s="75" t="inlineStr">
        <is>
          <t>Unknown</t>
        </is>
      </c>
      <c r="E425" s="75" t="n"/>
      <c r="F425" s="75" t="n"/>
      <c r="G425" s="75" t="n"/>
      <c r="H425" s="75" t="n"/>
      <c r="I425" s="75" t="n"/>
      <c r="J425" s="75" t="inlineStr">
        <is>
          <t>Other</t>
        </is>
      </c>
      <c r="K425" s="75" t="n"/>
      <c r="L425" s="75" t="n"/>
      <c r="M425" s="75" t="n"/>
      <c r="N425" s="75" t="n"/>
      <c r="O425" s="75" t="n"/>
      <c r="P425" s="75" t="n"/>
      <c r="Q425" s="75" t="n"/>
      <c r="R425" s="75" t="n"/>
      <c r="S425" s="75" t="n"/>
      <c r="T425" s="76" t="n"/>
      <c r="U425" s="75" t="n"/>
      <c r="V425" s="76" t="n"/>
      <c r="Y425" s="153" t="inlineStr">
        <is>
          <t>Global Inv - Mar 2026</t>
        </is>
      </c>
      <c r="Z425" s="153" t="inlineStr">
        <is>
          <t>NA</t>
        </is>
      </c>
      <c r="AA425" s="153" t="inlineStr">
        <is>
          <t>Supply Chain and Distribution</t>
        </is>
      </c>
      <c r="AB425" s="121">
        <f>VLOOKUP(AA425,CategorySummaryTable[],2,FALSE)</f>
        <v/>
      </c>
    </row>
    <row r="426" ht="64" customHeight="1" s="142">
      <c r="B426" s="80" t="inlineStr">
        <is>
          <t>RightFax</t>
        </is>
      </c>
      <c r="C426" s="75" t="inlineStr">
        <is>
          <t>Faxing inbound and outbound on corporate location. Weekends will be tolerable for downtime.</t>
        </is>
      </c>
      <c r="D426" s="75" t="inlineStr">
        <is>
          <t>Unknown</t>
        </is>
      </c>
      <c r="E426" s="75" t="inlineStr">
        <is>
          <t>OpenText</t>
        </is>
      </c>
      <c r="F426" s="75" t="n"/>
      <c r="G426" s="75" t="n"/>
      <c r="H426" s="75" t="inlineStr">
        <is>
          <t>Americas (US)</t>
        </is>
      </c>
      <c r="I426" s="75" t="inlineStr">
        <is>
          <t>Yes</t>
        </is>
      </c>
      <c r="J426" s="75" t="n"/>
      <c r="K426" s="75" t="n"/>
      <c r="L426" s="75" t="n"/>
      <c r="M426" s="75" t="n"/>
      <c r="N426" s="75" t="inlineStr">
        <is>
          <t>Yes</t>
        </is>
      </c>
      <c r="O426" s="75" t="inlineStr">
        <is>
          <t>NTLM</t>
        </is>
      </c>
      <c r="P426" s="75" t="n"/>
      <c r="Q426" s="75" t="inlineStr">
        <is>
          <t>No</t>
        </is>
      </c>
      <c r="R426" s="75" t="n"/>
      <c r="S426" s="75" t="n"/>
      <c r="T426" s="76" t="n"/>
      <c r="U426" s="75" t="n"/>
      <c r="V426" s="76" t="n"/>
      <c r="Y426" s="153" t="inlineStr">
        <is>
          <t>Global Inv - Mar 2026</t>
        </is>
      </c>
      <c r="Z426" s="153" t="inlineStr">
        <is>
          <t>Enterprise fax server software for inbound/outbound faxing</t>
        </is>
      </c>
      <c r="AA426" s="153" t="inlineStr">
        <is>
          <t>IT Operations</t>
        </is>
      </c>
      <c r="AB426" s="121">
        <f>VLOOKUP(AA426,CategorySummaryTable[],2,FALSE)</f>
        <v/>
      </c>
    </row>
    <row r="427" ht="96" customHeight="1" s="142">
      <c r="B427" s="82" t="inlineStr">
        <is>
          <t>RIMS (Integra products)</t>
        </is>
      </c>
      <c r="C427" s="75" t="inlineStr">
        <is>
          <t>Sam will provide app name</t>
        </is>
      </c>
      <c r="D427" s="75" t="inlineStr">
        <is>
          <t>Duplicate</t>
        </is>
      </c>
      <c r="E427" s="75" t="n"/>
      <c r="F427" s="75" t="n"/>
      <c r="G427" s="75" t="n"/>
      <c r="H427" s="75" t="n"/>
      <c r="I427" s="75" t="n"/>
      <c r="J427" s="75" t="inlineStr">
        <is>
          <t>Other</t>
        </is>
      </c>
      <c r="K427" s="75" t="inlineStr">
        <is>
          <t>SaaS</t>
        </is>
      </c>
      <c r="L427" s="75" t="n"/>
      <c r="M427" s="75" t="n"/>
      <c r="N427" s="75" t="n"/>
      <c r="O427" s="75" t="n"/>
      <c r="P427" s="75" t="n"/>
      <c r="Q427" s="75" t="n"/>
      <c r="R427" s="75" t="n"/>
      <c r="S427" s="75" t="n"/>
      <c r="T427" s="76" t="n"/>
      <c r="U427" s="75" t="n"/>
      <c r="V427" s="76" t="n"/>
      <c r="W427" s="71" t="inlineStr">
        <is>
          <t>Veeva platform</t>
        </is>
      </c>
      <c r="Y427" s="153" t="inlineStr">
        <is>
          <t>Global Inv - Mar 2026</t>
        </is>
      </c>
      <c r="Z427" s="153" t="inlineStr">
        <is>
          <t>NA</t>
        </is>
      </c>
      <c r="AA427" s="153" t="inlineStr">
        <is>
          <t>Regulatory Affairs</t>
        </is>
      </c>
      <c r="AB427" s="121">
        <f>VLOOKUP(AA427,CategorySummaryTable[],2,FALSE)</f>
        <v/>
      </c>
    </row>
    <row r="428" ht="64" customHeight="1" s="142">
      <c r="B428" s="80" t="inlineStr">
        <is>
          <t>Ring Central</t>
        </is>
      </c>
      <c r="C428" s="75" t="inlineStr">
        <is>
          <t>Communication tool</t>
        </is>
      </c>
      <c r="D428" s="75" t="inlineStr">
        <is>
          <t>Unknown</t>
        </is>
      </c>
      <c r="E428" s="75" t="inlineStr">
        <is>
          <t>RingCentral</t>
        </is>
      </c>
      <c r="F428" s="75" t="n"/>
      <c r="G428" s="75" t="n"/>
      <c r="H428" s="75" t="n"/>
      <c r="I428" s="75" t="n"/>
      <c r="J428" s="75" t="inlineStr">
        <is>
          <t>Other</t>
        </is>
      </c>
      <c r="K428" s="75" t="n"/>
      <c r="L428" s="75" t="n"/>
      <c r="M428" s="75" t="n"/>
      <c r="N428" s="75" t="n"/>
      <c r="O428" s="75" t="n"/>
      <c r="P428" s="75" t="n"/>
      <c r="Q428" s="75" t="n"/>
      <c r="R428" s="75" t="n"/>
      <c r="S428" s="75" t="n"/>
      <c r="T428" s="76" t="n"/>
      <c r="U428" s="75" t="n"/>
      <c r="V428" s="76" t="n"/>
      <c r="Y428" s="153" t="inlineStr">
        <is>
          <t>Global Inv - Mar 2026</t>
        </is>
      </c>
      <c r="Z428" s="153" t="inlineStr">
        <is>
          <t>Cloud-based business phone, messaging and video communications platform</t>
        </is>
      </c>
      <c r="AA428" s="153" t="inlineStr">
        <is>
          <t>IT Operations</t>
        </is>
      </c>
      <c r="AB428" s="121">
        <f>VLOOKUP(AA428,CategorySummaryTable[],2,FALSE)</f>
        <v/>
      </c>
    </row>
    <row r="429" ht="64" customHeight="1" s="142">
      <c r="B429" s="80" t="inlineStr">
        <is>
          <t>RODC Domain Controller</t>
        </is>
      </c>
      <c r="C429" s="75" t="inlineStr">
        <is>
          <t>Not an application.</t>
        </is>
      </c>
      <c r="D429" s="75" t="inlineStr">
        <is>
          <t>Unknown</t>
        </is>
      </c>
      <c r="E429" s="75" t="n"/>
      <c r="F429" s="75" t="n"/>
      <c r="G429" s="75" t="inlineStr">
        <is>
          <t>Enterprise</t>
        </is>
      </c>
      <c r="H429" s="75" t="n"/>
      <c r="I429" s="75" t="inlineStr">
        <is>
          <t>Yes</t>
        </is>
      </c>
      <c r="J429" s="75" t="n"/>
      <c r="K429" s="75" t="n"/>
      <c r="L429" s="75" t="n"/>
      <c r="M429" s="75" t="n"/>
      <c r="N429" s="75" t="n"/>
      <c r="O429" s="75" t="n"/>
      <c r="P429" s="75" t="n"/>
      <c r="Q429" s="75" t="inlineStr">
        <is>
          <t>No</t>
        </is>
      </c>
      <c r="R429" s="75" t="n"/>
      <c r="S429" s="75" t="n"/>
      <c r="T429" s="76" t="n"/>
      <c r="U429" s="75" t="n"/>
      <c r="V429" s="76" t="n"/>
      <c r="Y429" s="153" t="inlineStr">
        <is>
          <t>Global Inv - Mar 2026</t>
        </is>
      </c>
      <c r="Z429" s="153" t="inlineStr">
        <is>
          <t>NA</t>
        </is>
      </c>
      <c r="AA429" s="153" t="inlineStr">
        <is>
          <t>IT Operations</t>
        </is>
      </c>
      <c r="AB429" s="121">
        <f>VLOOKUP(AA429,CategorySummaryTable[],2,FALSE)</f>
        <v/>
      </c>
    </row>
    <row r="430" ht="64" customHeight="1" s="142">
      <c r="B430" s="77" t="inlineStr">
        <is>
          <t>ROI</t>
        </is>
      </c>
      <c r="C430" s="75" t="n"/>
      <c r="D430" s="75" t="inlineStr">
        <is>
          <t>Unknown</t>
        </is>
      </c>
      <c r="E430" s="75" t="inlineStr">
        <is>
          <t>Roi</t>
        </is>
      </c>
      <c r="F430" s="75" t="n"/>
      <c r="G430" s="75" t="n"/>
      <c r="H430" s="75" t="inlineStr">
        <is>
          <t>Plainsboro Corp</t>
        </is>
      </c>
      <c r="I430" s="75" t="inlineStr">
        <is>
          <t>Yes</t>
        </is>
      </c>
      <c r="J430" s="75" t="n"/>
      <c r="K430" s="75" t="inlineStr">
        <is>
          <t>On Premises (Client/Server)</t>
        </is>
      </c>
      <c r="L430" s="75" t="n"/>
      <c r="M430" s="75" t="n"/>
      <c r="N430" s="75" t="n"/>
      <c r="O430" s="75" t="n"/>
      <c r="P430" s="75" t="n"/>
      <c r="Q430" s="75" t="inlineStr">
        <is>
          <t>NA</t>
        </is>
      </c>
      <c r="R430" s="75" t="n"/>
      <c r="S430" s="75" t="n"/>
      <c r="T430" s="76" t="n"/>
      <c r="U430" s="75" t="n"/>
      <c r="V430" s="76" t="n"/>
      <c r="Y430" s="153" t="inlineStr">
        <is>
          <t>Global Inv - Mar 2026</t>
        </is>
      </c>
      <c r="Z430" s="153" t="inlineStr">
        <is>
          <t>NA</t>
        </is>
      </c>
      <c r="AA430" s="153" t="inlineStr">
        <is>
          <t>IT Operations</t>
        </is>
      </c>
      <c r="AB430" s="121">
        <f>VLOOKUP(AA430,CategorySummaryTable[],2,FALSE)</f>
        <v/>
      </c>
    </row>
    <row r="431" ht="80" customHeight="1" s="142">
      <c r="B431" s="80" t="inlineStr">
        <is>
          <t>Ross ERP</t>
        </is>
      </c>
      <c r="C431" s="75" t="inlineStr">
        <is>
          <t>ERP (enterprise resource planning)</t>
        </is>
      </c>
      <c r="D431" s="75" t="inlineStr">
        <is>
          <t>Decommissioned</t>
        </is>
      </c>
      <c r="E431" s="75" t="inlineStr">
        <is>
          <t>Aptean</t>
        </is>
      </c>
      <c r="F431" s="75" t="n"/>
      <c r="G431" s="75" t="n"/>
      <c r="H431" s="75" t="n"/>
      <c r="I431" s="75" t="n"/>
      <c r="J431" s="75" t="inlineStr">
        <is>
          <t>Other</t>
        </is>
      </c>
      <c r="K431" s="75" t="n"/>
      <c r="L431" s="75" t="n"/>
      <c r="M431" s="75" t="n"/>
      <c r="N431" s="75" t="n"/>
      <c r="O431" s="75" t="n"/>
      <c r="P431" s="75" t="n"/>
      <c r="Q431" s="75" t="n"/>
      <c r="R431" s="75" t="n"/>
      <c r="S431" s="75" t="n"/>
      <c r="T431" s="76" t="n"/>
      <c r="U431" s="75" t="n"/>
      <c r="V431" s="76" t="n"/>
      <c r="Y431" s="153" t="inlineStr">
        <is>
          <t>Global Inv - Mar 2026</t>
        </is>
      </c>
      <c r="Z431" s="153" t="inlineStr">
        <is>
          <t>Process manufacturing enterprise resource planning (ERP) software</t>
        </is>
      </c>
      <c r="AA431" s="153" t="inlineStr">
        <is>
          <t>Finance</t>
        </is>
      </c>
      <c r="AB431" s="121">
        <f>VLOOKUP(AA431,CategorySummaryTable[],2,FALSE)</f>
        <v/>
      </c>
    </row>
    <row r="432" ht="64" customHeight="1" s="142">
      <c r="B432" s="80" t="inlineStr">
        <is>
          <t>Roxio Creator</t>
        </is>
      </c>
      <c r="C432" s="75" t="inlineStr">
        <is>
          <t>Optical disk authoring program</t>
        </is>
      </c>
      <c r="D432" s="75" t="inlineStr">
        <is>
          <t>Unknown</t>
        </is>
      </c>
      <c r="E432" s="75" t="inlineStr">
        <is>
          <t>Roxio</t>
        </is>
      </c>
      <c r="F432" s="75" t="n"/>
      <c r="G432" s="75" t="n"/>
      <c r="H432" s="75" t="n"/>
      <c r="I432" s="75" t="n"/>
      <c r="J432" s="75" t="inlineStr">
        <is>
          <t>Other</t>
        </is>
      </c>
      <c r="K432" s="75" t="n"/>
      <c r="L432" s="75" t="n"/>
      <c r="M432" s="75" t="n"/>
      <c r="N432" s="75" t="n"/>
      <c r="O432" s="75" t="n"/>
      <c r="P432" s="75" t="n"/>
      <c r="Q432" s="75" t="n"/>
      <c r="R432" s="75" t="n"/>
      <c r="S432" s="75" t="n"/>
      <c r="T432" s="76" t="n"/>
      <c r="U432" s="75" t="n"/>
      <c r="V432" s="76" t="n"/>
      <c r="Y432" s="153" t="inlineStr">
        <is>
          <t>Global Inv - Mar 2026</t>
        </is>
      </c>
      <c r="Z432" s="153" t="inlineStr">
        <is>
          <t>Optical disc (CD/DVD) authoring and burning software</t>
        </is>
      </c>
      <c r="AA432" s="153" t="inlineStr">
        <is>
          <t>IT Operations</t>
        </is>
      </c>
      <c r="AB432" s="121">
        <f>VLOOKUP(AA432,CategorySummaryTable[],2,FALSE)</f>
        <v/>
      </c>
    </row>
    <row r="433" ht="64" customHeight="1" s="142">
      <c r="B433" s="80" t="inlineStr">
        <is>
          <t>RSA Envision</t>
        </is>
      </c>
      <c r="C433" s="75" t="inlineStr">
        <is>
          <t>SIEM platform with centralized log management</t>
        </is>
      </c>
      <c r="D433" s="75" t="inlineStr">
        <is>
          <t>Unknown</t>
        </is>
      </c>
      <c r="E433" s="75" t="inlineStr">
        <is>
          <t>RSA</t>
        </is>
      </c>
      <c r="F433" s="75" t="n"/>
      <c r="G433" s="75" t="n"/>
      <c r="H433" s="75" t="n"/>
      <c r="I433" s="75" t="n"/>
      <c r="J433" s="75" t="n"/>
      <c r="K433" s="75" t="n"/>
      <c r="L433" s="75" t="n"/>
      <c r="M433" s="75" t="n"/>
      <c r="N433" s="75" t="n"/>
      <c r="O433" s="75" t="n"/>
      <c r="P433" s="75" t="n"/>
      <c r="Q433" s="75" t="n"/>
      <c r="R433" s="75" t="n"/>
      <c r="S433" s="75" t="n"/>
      <c r="T433" s="76" t="n"/>
      <c r="U433" s="75" t="n"/>
      <c r="V433" s="76" t="n"/>
      <c r="Y433" s="153" t="inlineStr">
        <is>
          <t>Global Inv - Mar 2026</t>
        </is>
      </c>
      <c r="Z433" s="153" t="inlineStr">
        <is>
          <t>Security information and event management (SIEM) and log management platform</t>
        </is>
      </c>
      <c r="AA433" s="153" t="inlineStr">
        <is>
          <t>Cyber Security</t>
        </is>
      </c>
      <c r="AB433" s="121">
        <f>VLOOKUP(AA433,CategorySummaryTable[],2,FALSE)</f>
        <v/>
      </c>
    </row>
    <row r="434" ht="80" customHeight="1" s="142">
      <c r="B434" s="100" t="inlineStr">
        <is>
          <t>SABA</t>
        </is>
      </c>
      <c r="C434" s="75" t="inlineStr">
        <is>
          <t>Global Learning Management System</t>
        </is>
      </c>
      <c r="D434" s="75" t="inlineStr">
        <is>
          <t>Active</t>
        </is>
      </c>
      <c r="E434" s="75" t="inlineStr">
        <is>
          <t>Saba</t>
        </is>
      </c>
      <c r="F434" s="75" t="n"/>
      <c r="G434" s="75" t="n"/>
      <c r="H434" s="75" t="inlineStr">
        <is>
          <t>Corporate (expanding to all sites)</t>
        </is>
      </c>
      <c r="I434" s="75" t="n"/>
      <c r="J434" s="75" t="inlineStr">
        <is>
          <t>Other</t>
        </is>
      </c>
      <c r="K434" s="75" t="inlineStr">
        <is>
          <t>Cloud</t>
        </is>
      </c>
      <c r="L434" s="75" t="n"/>
      <c r="M434" s="75" t="inlineStr">
        <is>
          <t>Yes</t>
        </is>
      </c>
      <c r="N434" s="75" t="n"/>
      <c r="O434" s="75" t="n"/>
      <c r="P434" s="75" t="inlineStr">
        <is>
          <t>T2?</t>
        </is>
      </c>
      <c r="Q434" s="75" t="inlineStr">
        <is>
          <t>Yes</t>
        </is>
      </c>
      <c r="R434" s="75" t="n">
        <v>4</v>
      </c>
      <c r="S434" s="75" t="inlineStr">
        <is>
          <t>John O'Callaghan</t>
        </is>
      </c>
      <c r="T434" s="76" t="n">
        <v>44658</v>
      </c>
      <c r="U434" s="75" t="inlineStr">
        <is>
          <t>April 7, 2022 via John O'Callaghan</t>
        </is>
      </c>
      <c r="V434" s="76" t="n">
        <v>44658</v>
      </c>
      <c r="Y434" s="153" t="inlineStr">
        <is>
          <t>Global Inv - Mar 2026</t>
        </is>
      </c>
      <c r="Z434" s="153" t="inlineStr">
        <is>
          <t>Learning management system (LMS) and talent development software</t>
        </is>
      </c>
      <c r="AA434" s="153" t="inlineStr">
        <is>
          <t>Human Resources and Talent</t>
        </is>
      </c>
      <c r="AB434" s="121">
        <f>VLOOKUP(AA434,CategorySummaryTable[],2,FALSE)</f>
        <v/>
      </c>
    </row>
    <row r="435" ht="80" customHeight="1" s="142">
      <c r="B435" s="77" t="inlineStr">
        <is>
          <t>Sabrix (tax determination) Thompson Reuters</t>
        </is>
      </c>
      <c r="C435" s="75" t="n"/>
      <c r="D435" s="75" t="inlineStr">
        <is>
          <t>Active</t>
        </is>
      </c>
      <c r="E435" s="75" t="n"/>
      <c r="F435" s="75" t="n"/>
      <c r="G435" s="75" t="n"/>
      <c r="H435" s="75" t="n"/>
      <c r="I435" s="75" t="n"/>
      <c r="J435" s="75" t="inlineStr">
        <is>
          <t>OCI</t>
        </is>
      </c>
      <c r="K435" s="75" t="inlineStr">
        <is>
          <t>OCI</t>
        </is>
      </c>
      <c r="L435" s="75" t="n"/>
      <c r="M435" s="75" t="n"/>
      <c r="N435" s="75" t="n"/>
      <c r="O435" s="75" t="n"/>
      <c r="P435" s="75" t="inlineStr">
        <is>
          <t>T1</t>
        </is>
      </c>
      <c r="Q435" s="75" t="n"/>
      <c r="R435" s="75" t="n"/>
      <c r="S435" s="75" t="n"/>
      <c r="T435" s="76" t="n"/>
      <c r="U435" s="75" t="n"/>
      <c r="V435" s="76" t="n"/>
      <c r="W435" s="71" t="inlineStr">
        <is>
          <t>Move to OneSource (cloud migration) in progress. Plan is to exit in July 2026</t>
        </is>
      </c>
      <c r="Y435" s="153" t="inlineStr">
        <is>
          <t>Global Inv - Mar 2026</t>
        </is>
      </c>
      <c r="Z435" s="153" t="inlineStr">
        <is>
          <t>Indirect/transaction tax determination and compliance software</t>
        </is>
      </c>
      <c r="AA435" s="153" t="inlineStr">
        <is>
          <t>Finance</t>
        </is>
      </c>
      <c r="AB435" s="121">
        <f>VLOOKUP(AA435,CategorySummaryTable[],2,FALSE)</f>
        <v/>
      </c>
    </row>
    <row r="436" ht="80" customHeight="1" s="142">
      <c r="B436" s="80" t="inlineStr">
        <is>
          <t>Sage &amp; Mysis (App/SQL DB)</t>
        </is>
      </c>
      <c r="C436" s="75" t="inlineStr">
        <is>
          <t>*Citrix is required for Sage and Mysis users to access the system.
DS-NJP-SQL001. GAMP 4 (MISYS)</t>
        </is>
      </c>
      <c r="D436" s="75" t="inlineStr">
        <is>
          <t>Inactive (Data Retained for Compliance Purposes)</t>
        </is>
      </c>
      <c r="E436" s="75" t="inlineStr">
        <is>
          <t>MISys</t>
        </is>
      </c>
      <c r="F436" s="75" t="n"/>
      <c r="G436" s="75" t="n"/>
      <c r="H436" s="75" t="inlineStr">
        <is>
          <t>Americas - Canada and US AP/AR Derma (residual)</t>
        </is>
      </c>
      <c r="I436" s="75" t="inlineStr">
        <is>
          <t>Yes</t>
        </is>
      </c>
      <c r="J436" s="75" t="n"/>
      <c r="K436" s="75" t="n"/>
      <c r="L436" s="75" t="n"/>
      <c r="M436" s="75" t="n"/>
      <c r="N436" s="75" t="n"/>
      <c r="O436" s="75" t="n"/>
      <c r="P436" s="75" t="n"/>
      <c r="Q436" s="75" t="inlineStr">
        <is>
          <t>Yes</t>
        </is>
      </c>
      <c r="R436" s="75" t="n">
        <v>4</v>
      </c>
      <c r="S436" s="75" t="n"/>
      <c r="T436" s="76" t="n"/>
      <c r="U436" s="75" t="n"/>
      <c r="V436" s="76" t="n"/>
      <c r="Y436" s="153" t="inlineStr">
        <is>
          <t>Global Inv - Mar 2026</t>
        </is>
      </c>
      <c r="Z436" s="153" t="inlineStr">
        <is>
          <t>Manufacturing inventory and accounting (MRP) software</t>
        </is>
      </c>
      <c r="AA436" s="153" t="inlineStr">
        <is>
          <t>Finance</t>
        </is>
      </c>
      <c r="AB436" s="121">
        <f>VLOOKUP(AA436,CategorySummaryTable[],2,FALSE)</f>
        <v/>
      </c>
    </row>
    <row r="437" ht="80" customHeight="1" s="142">
      <c r="B437" s="61" t="inlineStr">
        <is>
          <t>SAGE 300 (formerly ACCPAC)</t>
        </is>
      </c>
      <c r="C437" s="75" t="n"/>
      <c r="D437" s="75" t="inlineStr">
        <is>
          <t>Decommissioned</t>
        </is>
      </c>
      <c r="E437" s="75" t="inlineStr">
        <is>
          <t>Sage</t>
        </is>
      </c>
      <c r="F437" s="75" t="n"/>
      <c r="G437" s="75" t="n"/>
      <c r="H437" s="75" t="inlineStr">
        <is>
          <t>Canada</t>
        </is>
      </c>
      <c r="I437" s="75" t="inlineStr">
        <is>
          <t>Yes</t>
        </is>
      </c>
      <c r="J437" s="75" t="n"/>
      <c r="K437" s="75" t="inlineStr">
        <is>
          <t>On Premises (Client/Server)</t>
        </is>
      </c>
      <c r="L437" s="75" t="n"/>
      <c r="M437" s="75" t="n"/>
      <c r="N437" s="75" t="n"/>
      <c r="O437" s="75" t="n"/>
      <c r="P437" s="75" t="n"/>
      <c r="Q437" s="75" t="inlineStr">
        <is>
          <t>N</t>
        </is>
      </c>
      <c r="R437" s="75" t="n"/>
      <c r="S437" s="75" t="n"/>
      <c r="T437" s="76" t="n"/>
      <c r="U437" s="75" t="n"/>
      <c r="V437" s="76" t="n"/>
      <c r="Y437" s="153" t="inlineStr">
        <is>
          <t>Global Inv - Mar 2026</t>
        </is>
      </c>
      <c r="Z437" s="153" t="inlineStr">
        <is>
          <t>Accounting and ERP/business management software</t>
        </is>
      </c>
      <c r="AA437" s="153" t="inlineStr">
        <is>
          <t>Finance</t>
        </is>
      </c>
      <c r="AB437" s="121">
        <f>VLOOKUP(AA437,CategorySummaryTable[],2,FALSE)</f>
        <v/>
      </c>
    </row>
    <row r="438" ht="80" customHeight="1" s="142">
      <c r="B438" s="77" t="inlineStr">
        <is>
          <t>SAGE FixAsset</t>
        </is>
      </c>
      <c r="C438" s="75" t="n"/>
      <c r="D438" s="75" t="inlineStr">
        <is>
          <t>Unknown</t>
        </is>
      </c>
      <c r="E438" s="75" t="inlineStr">
        <is>
          <t>Sage</t>
        </is>
      </c>
      <c r="F438" s="75" t="n"/>
      <c r="G438" s="75" t="n"/>
      <c r="H438" s="75" t="inlineStr">
        <is>
          <t>Puerto Rico</t>
        </is>
      </c>
      <c r="I438" s="75" t="n"/>
      <c r="J438" s="75" t="n"/>
      <c r="K438" s="75" t="inlineStr">
        <is>
          <t>Desktop</t>
        </is>
      </c>
      <c r="L438" s="75" t="n"/>
      <c r="M438" s="75" t="n"/>
      <c r="N438" s="75" t="n"/>
      <c r="O438" s="75" t="n"/>
      <c r="P438" s="75" t="n"/>
      <c r="Q438" s="75" t="inlineStr">
        <is>
          <t>N</t>
        </is>
      </c>
      <c r="R438" s="75" t="n"/>
      <c r="S438" s="75" t="n"/>
      <c r="T438" s="76" t="n"/>
      <c r="U438" s="75" t="n"/>
      <c r="V438" s="76" t="n"/>
      <c r="Y438" s="153" t="inlineStr">
        <is>
          <t>Global Inv - Mar 2026</t>
        </is>
      </c>
      <c r="Z438" s="153" t="inlineStr">
        <is>
          <t>Fixed asset accounting and depreciation management software</t>
        </is>
      </c>
      <c r="AA438" s="153" t="inlineStr">
        <is>
          <t>Finance</t>
        </is>
      </c>
      <c r="AB438" s="121">
        <f>VLOOKUP(AA438,CategorySummaryTable[],2,FALSE)</f>
        <v/>
      </c>
    </row>
    <row r="439" ht="80" customHeight="1" s="142">
      <c r="B439" s="56" t="inlineStr">
        <is>
          <t>Sage HTK Etiketten</t>
        </is>
      </c>
      <c r="C439" s="75" t="n"/>
      <c r="D439" s="75" t="inlineStr">
        <is>
          <t>Unknown</t>
        </is>
      </c>
      <c r="E439" s="75" t="inlineStr">
        <is>
          <t>Sage/HTK</t>
        </is>
      </c>
      <c r="F439" s="75" t="n"/>
      <c r="G439" s="75" t="n"/>
      <c r="H439" s="75" t="inlineStr">
        <is>
          <t>Kiel</t>
        </is>
      </c>
      <c r="I439" s="75" t="inlineStr">
        <is>
          <t>Yes</t>
        </is>
      </c>
      <c r="J439" s="75" t="n"/>
      <c r="K439" s="75" t="inlineStr">
        <is>
          <t>On Premises (Client/Server)</t>
        </is>
      </c>
      <c r="L439" s="75" t="n"/>
      <c r="M439" s="75" t="n"/>
      <c r="N439" s="75" t="n"/>
      <c r="O439" s="75" t="n"/>
      <c r="P439" s="75" t="n"/>
      <c r="Q439" s="75" t="n"/>
      <c r="R439" s="75" t="n"/>
      <c r="S439" s="75" t="n"/>
      <c r="T439" s="76" t="n"/>
      <c r="U439" s="75" t="n"/>
      <c r="V439" s="76" t="n"/>
      <c r="Y439" s="153" t="inlineStr">
        <is>
          <t>Global Inv - Mar 2026</t>
        </is>
      </c>
      <c r="Z439" s="153" t="inlineStr">
        <is>
          <t>Label design and printing software</t>
        </is>
      </c>
      <c r="AA439" s="153" t="inlineStr">
        <is>
          <t>Manufacturing</t>
        </is>
      </c>
      <c r="AB439" s="121">
        <f>VLOOKUP(AA439,CategorySummaryTable[],2,FALSE)</f>
        <v/>
      </c>
    </row>
    <row r="440" ht="80" customHeight="1" s="142">
      <c r="B440" s="56" t="inlineStr">
        <is>
          <t>SAGE KHK OL4.2</t>
        </is>
      </c>
      <c r="C440" s="75" t="n"/>
      <c r="D440" s="75" t="inlineStr">
        <is>
          <t>Unknown</t>
        </is>
      </c>
      <c r="E440" s="75" t="inlineStr">
        <is>
          <t>Sage</t>
        </is>
      </c>
      <c r="F440" s="75" t="n"/>
      <c r="G440" s="75" t="n"/>
      <c r="H440" s="75" t="inlineStr">
        <is>
          <t>Kiel</t>
        </is>
      </c>
      <c r="I440" s="75" t="inlineStr">
        <is>
          <t>Yes</t>
        </is>
      </c>
      <c r="J440" s="75" t="n"/>
      <c r="K440" s="75" t="inlineStr">
        <is>
          <t>On Premises (Client/Server)</t>
        </is>
      </c>
      <c r="L440" s="75" t="n"/>
      <c r="M440" s="75" t="n"/>
      <c r="N440" s="75" t="n"/>
      <c r="O440" s="75" t="n"/>
      <c r="P440" s="75" t="n"/>
      <c r="Q440" s="75" t="inlineStr">
        <is>
          <t>N</t>
        </is>
      </c>
      <c r="R440" s="75" t="n"/>
      <c r="S440" s="75" t="n"/>
      <c r="T440" s="76" t="n"/>
      <c r="U440" s="75" t="n"/>
      <c r="V440" s="76" t="n"/>
      <c r="Y440" s="153" t="inlineStr">
        <is>
          <t>Global Inv - Mar 2026</t>
        </is>
      </c>
      <c r="Z440" s="153" t="inlineStr">
        <is>
          <t>Accounting and ERP business management software</t>
        </is>
      </c>
      <c r="AA440" s="153" t="inlineStr">
        <is>
          <t>Finance</t>
        </is>
      </c>
      <c r="AB440" s="121">
        <f>VLOOKUP(AA440,CategorySummaryTable[],2,FALSE)</f>
        <v/>
      </c>
    </row>
    <row r="441" ht="80" customHeight="1" s="142">
      <c r="B441" s="82" t="inlineStr">
        <is>
          <t>Salesforce.com</t>
        </is>
      </c>
      <c r="C441" s="75" t="inlineStr">
        <is>
          <t>Data storage used (73 of 189 GB)
File storage used (325 of 3200 GB)</t>
        </is>
      </c>
      <c r="D441" s="75" t="inlineStr">
        <is>
          <t>Active</t>
        </is>
      </c>
      <c r="E441" s="75" t="inlineStr">
        <is>
          <t>Salesforce.com</t>
        </is>
      </c>
      <c r="F441" s="75" t="n"/>
      <c r="G441" s="75" t="n"/>
      <c r="H441" s="75" t="inlineStr">
        <is>
          <t>Multi-Site : ILS France, Zaventem, Andover, Ratingen, Plan Les Ouates</t>
        </is>
      </c>
      <c r="I441" s="75" t="n"/>
      <c r="J441" s="75" t="inlineStr">
        <is>
          <t>Other</t>
        </is>
      </c>
      <c r="K441" s="75" t="inlineStr">
        <is>
          <t>SaaS</t>
        </is>
      </c>
      <c r="L441" s="75" t="n"/>
      <c r="M441" s="75" t="n"/>
      <c r="N441" s="75" t="n"/>
      <c r="O441" s="75" t="n"/>
      <c r="P441" s="75" t="n"/>
      <c r="Q441" s="75" t="inlineStr">
        <is>
          <t>No</t>
        </is>
      </c>
      <c r="R441" s="75" t="n"/>
      <c r="S441" s="75" t="n"/>
      <c r="T441" s="76" t="n"/>
      <c r="U441" s="75" t="n"/>
      <c r="V441" s="76" t="n"/>
      <c r="Y441" s="153" t="inlineStr">
        <is>
          <t>Global Inv - Mar 2026</t>
        </is>
      </c>
      <c r="Z441" s="153" t="inlineStr">
        <is>
          <t>Cloud-based customer relationship management (CRM) platform</t>
        </is>
      </c>
      <c r="AA441" s="153" t="inlineStr">
        <is>
          <t>Sales</t>
        </is>
      </c>
      <c r="AB441" s="121">
        <f>VLOOKUP(AA441,CategorySummaryTable[],2,FALSE)</f>
        <v/>
      </c>
    </row>
    <row r="442" ht="80" customHeight="1" s="142">
      <c r="B442" s="80" t="inlineStr">
        <is>
          <t>Salto Patient Website</t>
        </is>
      </c>
      <c r="C442" s="75" t="inlineStr">
        <is>
          <t>Web server managed by Corporate Marketing group</t>
        </is>
      </c>
      <c r="D442" s="75" t="inlineStr">
        <is>
          <t>Unknown</t>
        </is>
      </c>
      <c r="E442" s="75" t="n"/>
      <c r="F442" s="75" t="n"/>
      <c r="G442" s="75" t="n"/>
      <c r="H442" s="75" t="n"/>
      <c r="I442" s="75" t="n"/>
      <c r="J442" s="75" t="n"/>
      <c r="K442" s="75" t="n"/>
      <c r="L442" s="75" t="n"/>
      <c r="M442" s="75" t="n"/>
      <c r="N442" s="75" t="n"/>
      <c r="O442" s="75" t="n"/>
      <c r="P442" s="75" t="n"/>
      <c r="Q442" s="75" t="n"/>
      <c r="R442" s="75" t="n"/>
      <c r="S442" s="75" t="n"/>
      <c r="T442" s="76" t="n"/>
      <c r="U442" s="75" t="inlineStr">
        <is>
          <t>server?</t>
        </is>
      </c>
      <c r="V442" s="76" t="n"/>
      <c r="Y442" s="153" t="inlineStr">
        <is>
          <t>Global Inv - Mar 2026</t>
        </is>
      </c>
      <c r="Z442" s="153" t="inlineStr">
        <is>
          <t>NA</t>
        </is>
      </c>
      <c r="AA442" s="153" t="inlineStr">
        <is>
          <t>Marketing</t>
        </is>
      </c>
      <c r="AB442" s="121">
        <f>VLOOKUP(AA442,CategorySummaryTable[],2,FALSE)</f>
        <v/>
      </c>
    </row>
    <row r="443" ht="80" customHeight="1" s="142">
      <c r="B443" s="80" t="inlineStr">
        <is>
          <t>SAP Fieldglass</t>
        </is>
      </c>
      <c r="C443" s="75" t="n"/>
      <c r="D443" s="75" t="inlineStr">
        <is>
          <t>Active</t>
        </is>
      </c>
      <c r="E443" s="75" t="n"/>
      <c r="F443" s="75" t="n"/>
      <c r="G443" s="75" t="n"/>
      <c r="H443" s="75" t="n"/>
      <c r="I443" s="75" t="n"/>
      <c r="J443" s="75" t="n"/>
      <c r="K443" s="75" t="n"/>
      <c r="L443" s="75" t="n"/>
      <c r="M443" s="75" t="n"/>
      <c r="N443" s="75" t="n"/>
      <c r="O443" s="75" t="n"/>
      <c r="P443" s="75" t="n"/>
      <c r="Q443" s="75" t="n"/>
      <c r="R443" s="75" t="n"/>
      <c r="S443" s="75" t="n"/>
      <c r="T443" s="76" t="n"/>
      <c r="U443" s="75" t="inlineStr">
        <is>
          <t>Richard Eisner as a possible contact</t>
        </is>
      </c>
      <c r="V443" s="76" t="n"/>
      <c r="W443" s="71" t="inlineStr">
        <is>
          <t>Platform deployed by Guidant Global/Procurement for contractors sourcing. SOW module currently discussed.</t>
        </is>
      </c>
      <c r="Y443" s="153" t="inlineStr">
        <is>
          <t>Global Inv - Mar 2026</t>
        </is>
      </c>
      <c r="Z443" s="153" t="inlineStr">
        <is>
          <t>External workforce/contingent labor and services procurement (VMS) software</t>
        </is>
      </c>
      <c r="AA443" s="153" t="inlineStr">
        <is>
          <t>Human Resources and Talent</t>
        </is>
      </c>
      <c r="AB443" s="121">
        <f>VLOOKUP(AA443,CategorySummaryTable[],2,FALSE)</f>
        <v/>
      </c>
    </row>
    <row r="444" ht="80" customHeight="1" s="142">
      <c r="B444" s="77" t="inlineStr">
        <is>
          <t>SCADA</t>
        </is>
      </c>
      <c r="C444" s="75" t="n"/>
      <c r="D444" s="75" t="inlineStr">
        <is>
          <t>Unknown</t>
        </is>
      </c>
      <c r="E444" s="75" t="inlineStr">
        <is>
          <t>SpecView</t>
        </is>
      </c>
      <c r="F444" s="75" t="n"/>
      <c r="G444" s="75" t="n"/>
      <c r="H444" s="75" t="inlineStr">
        <is>
          <t>Plainsboro 105/109</t>
        </is>
      </c>
      <c r="I444" s="75" t="n"/>
      <c r="J444" s="75" t="n"/>
      <c r="K444" s="75" t="inlineStr">
        <is>
          <t>Desktop</t>
        </is>
      </c>
      <c r="L444" s="75" t="n"/>
      <c r="M444" s="75" t="n"/>
      <c r="N444" s="75" t="n"/>
      <c r="O444" s="75" t="n"/>
      <c r="P444" s="75" t="n"/>
      <c r="Q444" s="75" t="inlineStr">
        <is>
          <t>Y</t>
        </is>
      </c>
      <c r="R444" s="75" t="n"/>
      <c r="S444" s="75" t="n"/>
      <c r="T444" s="76" t="n"/>
      <c r="U444" s="75" t="n"/>
      <c r="V444" s="76" t="n"/>
      <c r="Y444" s="153" t="inlineStr">
        <is>
          <t>Global Inv - Mar 2026</t>
        </is>
      </c>
      <c r="Z444" s="153" t="inlineStr">
        <is>
          <t>SCADA/HMI industrial process monitoring and control software</t>
        </is>
      </c>
      <c r="AA444" s="153" t="inlineStr">
        <is>
          <t>Manufacturing</t>
        </is>
      </c>
      <c r="AB444" s="121">
        <f>VLOOKUP(AA444,CategorySummaryTable[],2,FALSE)</f>
        <v/>
      </c>
    </row>
    <row r="445" ht="80" customHeight="1" s="142">
      <c r="B445" s="77" t="inlineStr">
        <is>
          <t>SCADA (iFix)</t>
        </is>
      </c>
      <c r="C445" s="75" t="n"/>
      <c r="D445" s="75" t="inlineStr">
        <is>
          <t>Unknown</t>
        </is>
      </c>
      <c r="E445" s="75" t="n"/>
      <c r="F445" s="75" t="n"/>
      <c r="G445" s="75" t="n"/>
      <c r="H445" s="75" t="inlineStr">
        <is>
          <t>Puerto Rico</t>
        </is>
      </c>
      <c r="I445" s="75" t="n"/>
      <c r="J445" s="75" t="n"/>
      <c r="K445" s="75" t="inlineStr">
        <is>
          <t>Desktop</t>
        </is>
      </c>
      <c r="L445" s="75" t="n"/>
      <c r="M445" s="75" t="n"/>
      <c r="N445" s="75" t="n"/>
      <c r="O445" s="75" t="n"/>
      <c r="P445" s="75" t="n"/>
      <c r="Q445" s="75" t="inlineStr">
        <is>
          <t>Y</t>
        </is>
      </c>
      <c r="R445" s="75" t="n"/>
      <c r="S445" s="75" t="n"/>
      <c r="T445" s="76" t="n"/>
      <c r="U445" s="75" t="n"/>
      <c r="V445" s="76" t="n"/>
      <c r="Y445" s="153" t="inlineStr">
        <is>
          <t>Global Inv - Mar 2026</t>
        </is>
      </c>
      <c r="Z445" s="153" t="inlineStr">
        <is>
          <t>SCADA/HMI industrial process monitoring and control software</t>
        </is>
      </c>
      <c r="AA445" s="153" t="inlineStr">
        <is>
          <t>Manufacturing</t>
        </is>
      </c>
      <c r="AB445" s="121">
        <f>VLOOKUP(AA445,CategorySummaryTable[],2,FALSE)</f>
        <v/>
      </c>
    </row>
    <row r="446" ht="64" customHeight="1" s="142">
      <c r="B446" s="80" t="inlineStr">
        <is>
          <t>SCCM</t>
        </is>
      </c>
      <c r="C446" s="75" t="inlineStr">
        <is>
          <t>System Center Configuration Manager. This is the deployment platform to support the workstation environment. Windows Updates, SCEP, Operating System Deployment and Software deployment. Minimum impact during the weekend.</t>
        </is>
      </c>
      <c r="D446" s="75" t="inlineStr">
        <is>
          <t>Active</t>
        </is>
      </c>
      <c r="E446" s="75" t="inlineStr">
        <is>
          <t>Microsoft</t>
        </is>
      </c>
      <c r="F446" s="75" t="n"/>
      <c r="G446" s="75" t="inlineStr">
        <is>
          <t>Enterprise</t>
        </is>
      </c>
      <c r="H446" s="75" t="n"/>
      <c r="I446" s="75" t="inlineStr">
        <is>
          <t>Yes</t>
        </is>
      </c>
      <c r="J446" s="75" t="n"/>
      <c r="K446" s="75" t="inlineStr">
        <is>
          <t>On Premises (Client/Server)</t>
        </is>
      </c>
      <c r="L446" s="75" t="n"/>
      <c r="M446" s="75" t="n"/>
      <c r="N446" s="75" t="n"/>
      <c r="O446" s="75" t="n"/>
      <c r="P446" s="75" t="n"/>
      <c r="Q446" s="75" t="inlineStr">
        <is>
          <t>No</t>
        </is>
      </c>
      <c r="R446" s="75" t="n"/>
      <c r="S446" s="75" t="n"/>
      <c r="T446" s="76" t="n"/>
      <c r="U446" s="75" t="n"/>
      <c r="V446" s="76" t="n"/>
      <c r="Y446" s="153" t="inlineStr">
        <is>
          <t>Global Inv - Mar 2026</t>
        </is>
      </c>
      <c r="Z446" s="153" t="inlineStr">
        <is>
          <t>Endpoint configuration, software deployment and patch management platform</t>
        </is>
      </c>
      <c r="AA446" s="153" t="inlineStr">
        <is>
          <t>IT Operations</t>
        </is>
      </c>
      <c r="AB446" s="121">
        <f>VLOOKUP(AA446,CategorySummaryTable[],2,FALSE)</f>
        <v/>
      </c>
    </row>
    <row r="447" ht="80" customHeight="1" s="142">
      <c r="B447" s="56" t="inlineStr">
        <is>
          <t>Scion Image</t>
        </is>
      </c>
      <c r="C447" s="75" t="inlineStr">
        <is>
          <t>Marked for deletetion</t>
        </is>
      </c>
      <c r="D447" s="75" t="inlineStr">
        <is>
          <t>Unknown</t>
        </is>
      </c>
      <c r="E447" s="75" t="inlineStr">
        <is>
          <t>Scion</t>
        </is>
      </c>
      <c r="F447" s="75" t="n"/>
      <c r="G447" s="75" t="n"/>
      <c r="H447" s="75" t="inlineStr">
        <is>
          <t>Plainsboro 105</t>
        </is>
      </c>
      <c r="I447" s="75" t="n"/>
      <c r="J447" s="75" t="n"/>
      <c r="K447" s="75" t="n"/>
      <c r="L447" s="75" t="n"/>
      <c r="M447" s="75" t="n"/>
      <c r="N447" s="75" t="n"/>
      <c r="O447" s="75" t="n"/>
      <c r="P447" s="75" t="n"/>
      <c r="Q447" s="75" t="inlineStr">
        <is>
          <t>Y</t>
        </is>
      </c>
      <c r="R447" s="75" t="n"/>
      <c r="S447" s="75" t="n"/>
      <c r="T447" s="76" t="n"/>
      <c r="U447" s="75" t="n"/>
      <c r="V447" s="76" t="n"/>
      <c r="Y447" s="153" t="inlineStr">
        <is>
          <t>Global Inv - Mar 2026</t>
        </is>
      </c>
      <c r="Z447" s="153" t="inlineStr">
        <is>
          <t>Scientific image capture and analysis software</t>
        </is>
      </c>
      <c r="AA447" s="153" t="inlineStr">
        <is>
          <t>Clinical Manufacturing Process</t>
        </is>
      </c>
      <c r="AB447" s="121">
        <f>VLOOKUP(AA447,CategorySummaryTable[],2,FALSE)</f>
        <v/>
      </c>
    </row>
    <row r="448" ht="64" customHeight="1" s="142">
      <c r="B448" s="80" t="inlineStr">
        <is>
          <t>SCOM</t>
        </is>
      </c>
      <c r="C448" s="75" t="inlineStr">
        <is>
          <t>System Center Operations Manager. Event monitoring platform</t>
        </is>
      </c>
      <c r="D448" s="75" t="inlineStr">
        <is>
          <t>Unknown</t>
        </is>
      </c>
      <c r="E448" s="75" t="inlineStr">
        <is>
          <t>Microsoft</t>
        </is>
      </c>
      <c r="F448" s="75" t="n"/>
      <c r="G448" s="75" t="inlineStr">
        <is>
          <t>Enterprise</t>
        </is>
      </c>
      <c r="H448" s="75" t="n"/>
      <c r="I448" s="75" t="inlineStr">
        <is>
          <t>Yes</t>
        </is>
      </c>
      <c r="J448" s="75" t="n"/>
      <c r="K448" s="75" t="inlineStr">
        <is>
          <t>On Premises (Client/Server)</t>
        </is>
      </c>
      <c r="L448" s="75" t="n"/>
      <c r="M448" s="75" t="n"/>
      <c r="N448" s="75" t="n"/>
      <c r="O448" s="75" t="n"/>
      <c r="P448" s="75" t="n"/>
      <c r="Q448" s="75" t="inlineStr">
        <is>
          <t>No</t>
        </is>
      </c>
      <c r="R448" s="75" t="n"/>
      <c r="S448" s="75" t="n"/>
      <c r="T448" s="76" t="n"/>
      <c r="U448" s="75" t="n"/>
      <c r="V448" s="76" t="n"/>
      <c r="Y448" s="153" t="inlineStr">
        <is>
          <t>Global Inv - Mar 2026</t>
        </is>
      </c>
      <c r="Z448" s="153" t="inlineStr">
        <is>
          <t>IT infrastructure and event monitoring (operations management) software</t>
        </is>
      </c>
      <c r="AA448" s="153" t="inlineStr">
        <is>
          <t>IT Operations</t>
        </is>
      </c>
      <c r="AB448" s="121">
        <f>VLOOKUP(AA448,CategorySummaryTable[],2,FALSE)</f>
        <v/>
      </c>
    </row>
    <row r="449" ht="64" customHeight="1" s="142">
      <c r="B449" s="80" t="inlineStr">
        <is>
          <t>SDE</t>
        </is>
      </c>
      <c r="C449" s="75" t="inlineStr">
        <is>
          <t>Substantial Damage Estimator</t>
        </is>
      </c>
      <c r="D449" s="75" t="inlineStr">
        <is>
          <t>Unknown</t>
        </is>
      </c>
      <c r="E449" s="75" t="inlineStr">
        <is>
          <t>FEMA</t>
        </is>
      </c>
      <c r="F449" s="75" t="n"/>
      <c r="G449" s="75" t="n"/>
      <c r="H449" s="75" t="n"/>
      <c r="I449" s="75" t="n"/>
      <c r="J449" s="75" t="inlineStr">
        <is>
          <t>Other</t>
        </is>
      </c>
      <c r="K449" s="75" t="n"/>
      <c r="L449" s="75" t="n"/>
      <c r="M449" s="75" t="n"/>
      <c r="N449" s="75" t="n"/>
      <c r="O449" s="75" t="n"/>
      <c r="P449" s="75" t="n"/>
      <c r="Q449" s="75" t="n"/>
      <c r="R449" s="75" t="n"/>
      <c r="S449" s="75" t="n"/>
      <c r="T449" s="76" t="n"/>
      <c r="U449" s="75" t="n"/>
      <c r="V449" s="76" t="n"/>
      <c r="Y449" s="153" t="inlineStr">
        <is>
          <t>Global Inv - Mar 2026</t>
        </is>
      </c>
      <c r="Z449" s="153" t="inlineStr">
        <is>
          <t>Building damage assessment software for floodplain/disaster estimation</t>
        </is>
      </c>
      <c r="AA449" s="153" t="inlineStr">
        <is>
          <t>IT Operations</t>
        </is>
      </c>
      <c r="AB449" s="121">
        <f>VLOOKUP(AA449,CategorySummaryTable[],2,FALSE)</f>
        <v/>
      </c>
    </row>
    <row r="450" ht="80" customHeight="1" s="142">
      <c r="B450" s="80" t="inlineStr">
        <is>
          <t>SealtoHeal-04</t>
        </is>
      </c>
      <c r="C450" s="75" t="inlineStr">
        <is>
          <t>Web server managed by Corporate Marketing group</t>
        </is>
      </c>
      <c r="D450" s="75" t="inlineStr">
        <is>
          <t>Unknown</t>
        </is>
      </c>
      <c r="E450" s="75" t="n"/>
      <c r="F450" s="75" t="n"/>
      <c r="G450" s="75" t="n"/>
      <c r="H450" s="75" t="n"/>
      <c r="I450" s="75" t="n"/>
      <c r="J450" s="75" t="n"/>
      <c r="K450" s="75" t="n"/>
      <c r="L450" s="75" t="n"/>
      <c r="M450" s="75" t="n"/>
      <c r="N450" s="75" t="n"/>
      <c r="O450" s="75" t="n"/>
      <c r="P450" s="75" t="n"/>
      <c r="Q450" s="75" t="n"/>
      <c r="R450" s="75" t="n"/>
      <c r="S450" s="75" t="n"/>
      <c r="T450" s="76" t="n"/>
      <c r="U450" s="75" t="inlineStr">
        <is>
          <t>server?</t>
        </is>
      </c>
      <c r="V450" s="76" t="n"/>
      <c r="Y450" s="153" t="inlineStr">
        <is>
          <t>Global Inv - Mar 2026</t>
        </is>
      </c>
      <c r="Z450" s="153" t="inlineStr">
        <is>
          <t>NA</t>
        </is>
      </c>
      <c r="AA450" s="153" t="inlineStr">
        <is>
          <t>Marketing</t>
        </is>
      </c>
      <c r="AB450" s="121">
        <f>VLOOKUP(AA450,CategorySummaryTable[],2,FALSE)</f>
        <v/>
      </c>
    </row>
    <row r="451" ht="64" customHeight="1" s="142">
      <c r="B451" s="80" t="inlineStr">
        <is>
          <t>Security Card System (Win-Pak)</t>
        </is>
      </c>
      <c r="C451" s="75" t="n"/>
      <c r="D451" s="75" t="inlineStr">
        <is>
          <t>Unknown</t>
        </is>
      </c>
      <c r="E451" s="75" t="inlineStr">
        <is>
          <t>Honeywell</t>
        </is>
      </c>
      <c r="F451" s="75" t="n"/>
      <c r="G451" s="75" t="n"/>
      <c r="H451" s="75" t="inlineStr">
        <is>
          <t>US</t>
        </is>
      </c>
      <c r="I451" s="75" t="inlineStr">
        <is>
          <t>Yes</t>
        </is>
      </c>
      <c r="J451" s="75" t="n"/>
      <c r="K451" s="75" t="n"/>
      <c r="L451" s="75" t="n"/>
      <c r="M451" s="75" t="n"/>
      <c r="N451" s="75" t="n"/>
      <c r="O451" s="75" t="n"/>
      <c r="P451" s="75" t="n"/>
      <c r="Q451" s="75" t="inlineStr">
        <is>
          <t>No</t>
        </is>
      </c>
      <c r="R451" s="75" t="n"/>
      <c r="S451" s="75" t="n"/>
      <c r="T451" s="76" t="n"/>
      <c r="U451" s="75" t="n"/>
      <c r="V451" s="76" t="n"/>
      <c r="Y451" s="153" t="inlineStr">
        <is>
          <t>Global Inv - Mar 2026</t>
        </is>
      </c>
      <c r="Z451" s="153" t="inlineStr">
        <is>
          <t>Access control and security card/badge management software</t>
        </is>
      </c>
      <c r="AA451" s="153" t="inlineStr">
        <is>
          <t>IT Operations</t>
        </is>
      </c>
      <c r="AB451" s="121">
        <f>VLOOKUP(AA451,CategorySummaryTable[],2,FALSE)</f>
        <v/>
      </c>
    </row>
    <row r="452" ht="64" customHeight="1" s="142">
      <c r="B452" s="80" t="inlineStr">
        <is>
          <t>Security Repository</t>
        </is>
      </c>
      <c r="C452" s="75" t="inlineStr">
        <is>
          <t>Not an application.</t>
        </is>
      </c>
      <c r="D452" s="75" t="inlineStr">
        <is>
          <t>Unknown</t>
        </is>
      </c>
      <c r="E452" s="75" t="n"/>
      <c r="F452" s="75" t="n"/>
      <c r="G452" s="75" t="n"/>
      <c r="H452" s="75" t="inlineStr">
        <is>
          <t>Americas</t>
        </is>
      </c>
      <c r="I452" s="75" t="inlineStr">
        <is>
          <t>Yes</t>
        </is>
      </c>
      <c r="J452" s="75" t="n"/>
      <c r="K452" s="75" t="n"/>
      <c r="L452" s="75" t="n"/>
      <c r="M452" s="75" t="n"/>
      <c r="N452" s="75" t="n"/>
      <c r="O452" s="75" t="n"/>
      <c r="P452" s="75" t="n"/>
      <c r="Q452" s="75" t="inlineStr">
        <is>
          <t>No</t>
        </is>
      </c>
      <c r="R452" s="75" t="n"/>
      <c r="S452" s="75" t="n"/>
      <c r="T452" s="76" t="n"/>
      <c r="U452" s="75" t="n"/>
      <c r="V452" s="76" t="n"/>
      <c r="Y452" s="153" t="inlineStr">
        <is>
          <t>Global Inv - Mar 2026</t>
        </is>
      </c>
      <c r="Z452" s="153" t="inlineStr">
        <is>
          <t>NA</t>
        </is>
      </c>
      <c r="AA452" s="153" t="inlineStr">
        <is>
          <t>Cyber Security</t>
        </is>
      </c>
      <c r="AB452" s="121">
        <f>VLOOKUP(AA452,CategorySummaryTable[],2,FALSE)</f>
        <v/>
      </c>
    </row>
    <row r="453" ht="80" customHeight="1" s="142">
      <c r="B453" s="56" t="inlineStr">
        <is>
          <t>Series IX</t>
        </is>
      </c>
      <c r="C453" s="75" t="n"/>
      <c r="D453" s="75" t="inlineStr">
        <is>
          <t>Unknown</t>
        </is>
      </c>
      <c r="E453" s="75" t="inlineStr">
        <is>
          <t>Instron?</t>
        </is>
      </c>
      <c r="F453" s="75" t="n"/>
      <c r="G453" s="75" t="n"/>
      <c r="H453" s="75" t="inlineStr">
        <is>
          <t>Plainsboro 105</t>
        </is>
      </c>
      <c r="I453" s="75" t="n"/>
      <c r="J453" s="75" t="n"/>
      <c r="K453" s="75" t="n"/>
      <c r="L453" s="75" t="n"/>
      <c r="M453" s="75" t="n"/>
      <c r="N453" s="75" t="n"/>
      <c r="O453" s="75" t="n"/>
      <c r="P453" s="75" t="n"/>
      <c r="Q453" s="75" t="inlineStr">
        <is>
          <t>Y</t>
        </is>
      </c>
      <c r="R453" s="75" t="n"/>
      <c r="S453" s="75" t="n"/>
      <c r="T453" s="76" t="n"/>
      <c r="U453" s="75" t="n"/>
      <c r="V453" s="76" t="n"/>
      <c r="Y453" s="153" t="inlineStr">
        <is>
          <t>Global Inv - Mar 2026</t>
        </is>
      </c>
      <c r="Z453" s="153" t="inlineStr">
        <is>
          <t>Materials testing data acquisition, control and analysis software</t>
        </is>
      </c>
      <c r="AA453" s="153" t="inlineStr">
        <is>
          <t>Clinical Manufacturing Process</t>
        </is>
      </c>
      <c r="AB453" s="121">
        <f>VLOOKUP(AA453,CategorySummaryTable[],2,FALSE)</f>
        <v/>
      </c>
    </row>
    <row r="454" ht="64" customHeight="1" s="142">
      <c r="B454" s="60" t="inlineStr">
        <is>
          <t>Service Oriented Architecture (SOA)</t>
        </is>
      </c>
      <c r="C454" s="75" t="n"/>
      <c r="D454" s="75" t="inlineStr">
        <is>
          <t>Unknown</t>
        </is>
      </c>
      <c r="E454" s="75" t="n"/>
      <c r="F454" s="75" t="n"/>
      <c r="G454" s="75" t="n"/>
      <c r="H454" s="75" t="n"/>
      <c r="I454" s="75" t="n"/>
      <c r="J454" s="75" t="inlineStr">
        <is>
          <t>OCI</t>
        </is>
      </c>
      <c r="K454" s="75" t="n"/>
      <c r="L454" s="75" t="n"/>
      <c r="M454" s="75" t="n"/>
      <c r="N454" s="75" t="n"/>
      <c r="O454" s="75" t="n"/>
      <c r="P454" s="75" t="inlineStr">
        <is>
          <t>T1</t>
        </is>
      </c>
      <c r="Q454" s="75" t="n"/>
      <c r="R454" s="75" t="n"/>
      <c r="S454" s="75" t="n"/>
      <c r="T454" s="76" t="n"/>
      <c r="U454" s="75" t="inlineStr">
        <is>
          <t>from 10 critical app list</t>
        </is>
      </c>
      <c r="V454" s="76" t="n"/>
      <c r="Y454" s="153" t="inlineStr">
        <is>
          <t>Global Inv - Mar 2026</t>
        </is>
      </c>
      <c r="Z454" s="153" t="inlineStr">
        <is>
          <t>NA</t>
        </is>
      </c>
      <c r="AA454" s="153" t="inlineStr">
        <is>
          <t>IT Operations</t>
        </is>
      </c>
      <c r="AB454" s="121">
        <f>VLOOKUP(AA454,CategorySummaryTable[],2,FALSE)</f>
        <v/>
      </c>
    </row>
    <row r="455" ht="64" customHeight="1" s="142">
      <c r="B455" s="82" t="inlineStr">
        <is>
          <t>ServiceNow</t>
        </is>
      </c>
      <c r="C455" s="75" t="inlineStr">
        <is>
          <t>Prod 401 GB
Test 121 GB
Dev 112 GB</t>
        </is>
      </c>
      <c r="D455" s="75" t="inlineStr">
        <is>
          <t>Active</t>
        </is>
      </c>
      <c r="E455" s="75" t="inlineStr">
        <is>
          <t>ServiceNow</t>
        </is>
      </c>
      <c r="F455" s="75" t="n"/>
      <c r="G455" s="75" t="n"/>
      <c r="H455" s="75" t="n"/>
      <c r="I455" s="75" t="n"/>
      <c r="J455" s="75" t="inlineStr">
        <is>
          <t>Other</t>
        </is>
      </c>
      <c r="K455" s="75" t="inlineStr">
        <is>
          <t>SaaS</t>
        </is>
      </c>
      <c r="L455" s="75" t="n"/>
      <c r="M455" s="75" t="inlineStr">
        <is>
          <t>Yes</t>
        </is>
      </c>
      <c r="N455" s="75" t="n"/>
      <c r="O455" s="75" t="n"/>
      <c r="P455" s="75" t="n"/>
      <c r="Q455" s="75" t="inlineStr">
        <is>
          <t>Yes</t>
        </is>
      </c>
      <c r="R455" s="75" t="inlineStr">
        <is>
          <t>4, 5</t>
        </is>
      </c>
      <c r="S455" s="75" t="n"/>
      <c r="T455" s="76" t="n"/>
      <c r="U455" s="75" t="n"/>
      <c r="V455" s="76" t="n"/>
      <c r="Y455" s="153" t="inlineStr">
        <is>
          <t>Global Inv - Mar 2026</t>
        </is>
      </c>
      <c r="Z455" s="153" t="inlineStr">
        <is>
          <t>Cloud-based IT service management (ITSM) and workflow platform</t>
        </is>
      </c>
      <c r="AA455" s="153" t="inlineStr">
        <is>
          <t>IT Operations</t>
        </is>
      </c>
      <c r="AB455" s="121">
        <f>VLOOKUP(AA455,CategorySummaryTable[],2,FALSE)</f>
        <v/>
      </c>
    </row>
    <row r="456" ht="64" customHeight="1" s="142">
      <c r="B456" s="80" t="inlineStr">
        <is>
          <t>ServiceNow - Mid Server Interface</t>
        </is>
      </c>
      <c r="C456" s="75" t="n"/>
      <c r="D456" s="75" t="inlineStr">
        <is>
          <t>Unknown</t>
        </is>
      </c>
      <c r="E456" s="75" t="inlineStr">
        <is>
          <t>ServiceNow</t>
        </is>
      </c>
      <c r="F456" s="75" t="n"/>
      <c r="G456" s="75" t="inlineStr">
        <is>
          <t>Enterprise</t>
        </is>
      </c>
      <c r="H456" s="75" t="n"/>
      <c r="I456" s="75" t="inlineStr">
        <is>
          <t>Yes</t>
        </is>
      </c>
      <c r="J456" s="75" t="n"/>
      <c r="K456" s="75" t="n"/>
      <c r="L456" s="75" t="n"/>
      <c r="M456" s="75" t="n"/>
      <c r="N456" s="75" t="n"/>
      <c r="O456" s="75" t="n"/>
      <c r="P456" s="75" t="n"/>
      <c r="Q456" s="75" t="inlineStr">
        <is>
          <t>No</t>
        </is>
      </c>
      <c r="R456" s="75" t="n"/>
      <c r="S456" s="75" t="n"/>
      <c r="T456" s="76" t="n"/>
      <c r="U456" s="75" t="inlineStr">
        <is>
          <t>server, hold information on servicenow. Ask john feist</t>
        </is>
      </c>
      <c r="V456" s="76" t="n"/>
      <c r="Y456" s="153" t="inlineStr">
        <is>
          <t>Global Inv - Mar 2026</t>
        </is>
      </c>
      <c r="Z456" s="153" t="inlineStr">
        <is>
          <t>On-premise integration component for the ITSM platform</t>
        </is>
      </c>
      <c r="AA456" s="153" t="inlineStr">
        <is>
          <t>IT Operations</t>
        </is>
      </c>
      <c r="AB456" s="121">
        <f>VLOOKUP(AA456,CategorySummaryTable[],2,FALSE)</f>
        <v/>
      </c>
    </row>
    <row r="457" ht="64" customHeight="1" s="142">
      <c r="B457" s="80" t="inlineStr">
        <is>
          <t>SharePoint</t>
        </is>
      </c>
      <c r="C457" s="75" t="inlineStr">
        <is>
          <t>Minimum impact during the weekend.</t>
        </is>
      </c>
      <c r="D457" s="75" t="inlineStr">
        <is>
          <t>Unknown</t>
        </is>
      </c>
      <c r="E457" s="75" t="inlineStr">
        <is>
          <t>Microsoft</t>
        </is>
      </c>
      <c r="F457" s="75" t="n"/>
      <c r="G457" s="75" t="inlineStr">
        <is>
          <t>Enterprise</t>
        </is>
      </c>
      <c r="H457" s="75" t="n"/>
      <c r="I457" s="75" t="inlineStr">
        <is>
          <t>Yes</t>
        </is>
      </c>
      <c r="J457" s="75" t="n"/>
      <c r="K457" s="75" t="n"/>
      <c r="L457" s="75" t="n"/>
      <c r="M457" s="75" t="n"/>
      <c r="N457" s="75" t="n"/>
      <c r="O457" s="75" t="n"/>
      <c r="P457" s="75" t="n"/>
      <c r="Q457" s="75" t="inlineStr">
        <is>
          <t>No</t>
        </is>
      </c>
      <c r="R457" s="75" t="n"/>
      <c r="S457" s="75" t="n"/>
      <c r="T457" s="76" t="n"/>
      <c r="U457" s="75" t="n"/>
      <c r="V457" s="76" t="n"/>
      <c r="Y457" s="153" t="inlineStr">
        <is>
          <t>Global Inv - Mar 2026</t>
        </is>
      </c>
      <c r="Z457" s="153" t="inlineStr">
        <is>
          <t>Web-based collaboration, document management and intranet platform</t>
        </is>
      </c>
      <c r="AA457" s="153" t="inlineStr">
        <is>
          <t>IT Operations</t>
        </is>
      </c>
      <c r="AB457" s="121">
        <f>VLOOKUP(AA457,CategorySummaryTable[],2,FALSE)</f>
        <v/>
      </c>
    </row>
    <row r="458" ht="64" customHeight="1" s="142">
      <c r="B458" s="77" t="inlineStr">
        <is>
          <t>SharePoint</t>
        </is>
      </c>
      <c r="C458" s="75" t="inlineStr">
        <is>
          <t>Marked for deletetion</t>
        </is>
      </c>
      <c r="D458" s="75" t="inlineStr">
        <is>
          <t>Survey Complete with Improvement Opps</t>
        </is>
      </c>
      <c r="E458" s="75" t="inlineStr">
        <is>
          <t>Microsoft</t>
        </is>
      </c>
      <c r="F458" s="75" t="n"/>
      <c r="G458" s="75" t="n"/>
      <c r="H458" s="75" t="inlineStr">
        <is>
          <t>Puerto Rico</t>
        </is>
      </c>
      <c r="I458" s="75" t="inlineStr">
        <is>
          <t>Yes</t>
        </is>
      </c>
      <c r="J458" s="75" t="n"/>
      <c r="K458" s="75" t="inlineStr">
        <is>
          <t>On Premises (Client/Server)</t>
        </is>
      </c>
      <c r="L458" s="75" t="n"/>
      <c r="M458" s="75" t="n"/>
      <c r="N458" s="75" t="n"/>
      <c r="O458" s="75" t="n"/>
      <c r="P458" s="75" t="n"/>
      <c r="Q458" s="75" t="inlineStr">
        <is>
          <t>N</t>
        </is>
      </c>
      <c r="R458" s="75" t="n"/>
      <c r="S458" s="75" t="n"/>
      <c r="T458" s="76" t="n"/>
      <c r="U458" s="75" t="n"/>
      <c r="V458" s="76" t="n"/>
      <c r="Y458" s="153" t="inlineStr">
        <is>
          <t>Global Inv - Mar 2026</t>
        </is>
      </c>
      <c r="Z458" s="153" t="inlineStr">
        <is>
          <t>Web-based collaboration, document management and intranet platform</t>
        </is>
      </c>
      <c r="AA458" s="153" t="inlineStr">
        <is>
          <t>IT Operations</t>
        </is>
      </c>
      <c r="AB458" s="121">
        <f>VLOOKUP(AA458,CategorySummaryTable[],2,FALSE)</f>
        <v/>
      </c>
    </row>
    <row r="459" ht="64" customHeight="1" s="142">
      <c r="B459" s="80" t="inlineStr">
        <is>
          <t>Sharepoint Designer</t>
        </is>
      </c>
      <c r="C459" s="75" t="inlineStr">
        <is>
          <t>discontinued HTML editor freeware for creating or modifying Microsoft SharePoint sites</t>
        </is>
      </c>
      <c r="D459" s="75" t="inlineStr">
        <is>
          <t>Unknown</t>
        </is>
      </c>
      <c r="E459" s="75" t="inlineStr">
        <is>
          <t>Microsoft</t>
        </is>
      </c>
      <c r="F459" s="75" t="n"/>
      <c r="G459" s="75" t="n"/>
      <c r="H459" s="75" t="n"/>
      <c r="I459" s="75" t="n"/>
      <c r="J459" s="75" t="inlineStr">
        <is>
          <t>Other</t>
        </is>
      </c>
      <c r="K459" s="75" t="n"/>
      <c r="L459" s="75" t="n"/>
      <c r="M459" s="75" t="n"/>
      <c r="N459" s="75" t="n"/>
      <c r="O459" s="75" t="n"/>
      <c r="P459" s="75" t="n"/>
      <c r="Q459" s="75" t="n"/>
      <c r="R459" s="75" t="n"/>
      <c r="S459" s="75" t="n"/>
      <c r="T459" s="76" t="n"/>
      <c r="U459" s="75" t="n"/>
      <c r="V459" s="76" t="n"/>
      <c r="Y459" s="153" t="inlineStr">
        <is>
          <t>Global Inv - Mar 2026</t>
        </is>
      </c>
      <c r="Z459" s="153" t="inlineStr">
        <is>
          <t>HTML editor for creating and customizing SharePoint sites</t>
        </is>
      </c>
      <c r="AA459" s="153" t="inlineStr">
        <is>
          <t>IT Operations</t>
        </is>
      </c>
      <c r="AB459" s="121">
        <f>VLOOKUP(AA459,CategorySummaryTable[],2,FALSE)</f>
        <v/>
      </c>
    </row>
    <row r="460" ht="64" customHeight="1" s="142">
      <c r="B460" s="82" t="inlineStr">
        <is>
          <t>Sharepoint online</t>
        </is>
      </c>
      <c r="C460" s="75" t="inlineStr">
        <is>
          <t>The total size for SharePoint Online comes to 5.3 TB. Microsoft puts all Teams to SharePoint Online now. So each Teams site is a mini SharePoint site.</t>
        </is>
      </c>
      <c r="D460" s="75" t="inlineStr">
        <is>
          <t>Unknown</t>
        </is>
      </c>
      <c r="E460" s="75" t="n"/>
      <c r="F460" s="75" t="n"/>
      <c r="G460" s="75" t="n"/>
      <c r="H460" s="75" t="n"/>
      <c r="I460" s="75" t="n"/>
      <c r="J460" s="75" t="inlineStr">
        <is>
          <t>Other</t>
        </is>
      </c>
      <c r="K460" s="75" t="inlineStr">
        <is>
          <t>SaaS</t>
        </is>
      </c>
      <c r="L460" s="75" t="n"/>
      <c r="M460" s="75" t="n"/>
      <c r="N460" s="75" t="n"/>
      <c r="O460" s="75" t="n"/>
      <c r="P460" s="75" t="n"/>
      <c r="Q460" s="75" t="n"/>
      <c r="R460" s="75" t="n"/>
      <c r="S460" s="75" t="n"/>
      <c r="T460" s="76" t="n"/>
      <c r="U460" s="75" t="n"/>
      <c r="V460" s="76" t="n"/>
      <c r="Y460" s="153" t="inlineStr">
        <is>
          <t>Global Inv - Mar 2026</t>
        </is>
      </c>
      <c r="Z460" s="153" t="inlineStr">
        <is>
          <t>Cloud-based collaboration and document management platform</t>
        </is>
      </c>
      <c r="AA460" s="153" t="inlineStr">
        <is>
          <t>IT Operations</t>
        </is>
      </c>
      <c r="AB460" s="121">
        <f>VLOOKUP(AA460,CategorySummaryTable[],2,FALSE)</f>
        <v/>
      </c>
    </row>
    <row r="461" ht="116" customHeight="1" s="142">
      <c r="B461" s="77" t="inlineStr">
        <is>
          <t>SHAREPOINT on-prem</t>
        </is>
      </c>
      <c r="C461" s="75" t="n"/>
      <c r="D461" s="75" t="inlineStr">
        <is>
          <t>N/A</t>
        </is>
      </c>
      <c r="E461" s="75" t="inlineStr">
        <is>
          <t>Microsoft</t>
        </is>
      </c>
      <c r="F461" s="75" t="n"/>
      <c r="G461" s="75" t="n"/>
      <c r="H461" s="75" t="inlineStr">
        <is>
          <t>Multi-Site: Andover, Austin, Boston, Biot, Billerica, Cincinnati, Dublin, Ghent, Guzman, Kiel, Lyon, Plainsboro Corp, Germany, Salt Lake, San Diego, St Paul, Tullamore, Waltham, York, Zavante BE</t>
        </is>
      </c>
      <c r="I461" s="75" t="inlineStr">
        <is>
          <t>Yes</t>
        </is>
      </c>
      <c r="J461" s="75" t="n"/>
      <c r="K461" s="75" t="inlineStr">
        <is>
          <t>On Premises (Client/Server)</t>
        </is>
      </c>
      <c r="L461" s="75" t="n"/>
      <c r="M461" s="75" t="n"/>
      <c r="N461" s="75" t="n"/>
      <c r="O461" s="75" t="n"/>
      <c r="P461" s="75" t="n"/>
      <c r="Q461" s="75" t="inlineStr">
        <is>
          <t>N</t>
        </is>
      </c>
      <c r="R461" s="75" t="n"/>
      <c r="S461" s="75" t="n"/>
      <c r="T461" s="76" t="n"/>
      <c r="U461" s="75" t="n"/>
      <c r="V461" s="76" t="n"/>
      <c r="Y461" s="153" t="inlineStr">
        <is>
          <t>Global Inv - Mar 2026</t>
        </is>
      </c>
      <c r="Z461" s="153" t="inlineStr">
        <is>
          <t>On-premise collaboration and document management platform</t>
        </is>
      </c>
      <c r="AA461" s="153" t="inlineStr">
        <is>
          <t>IT Operations</t>
        </is>
      </c>
      <c r="AB461" s="121">
        <f>VLOOKUP(AA461,CategorySummaryTable[],2,FALSE)</f>
        <v/>
      </c>
    </row>
    <row r="462" ht="80" customHeight="1" s="142">
      <c r="B462" s="80" t="inlineStr">
        <is>
          <t>ShowPad Sales Enablement</t>
        </is>
      </c>
      <c r="C462" s="75" t="n"/>
      <c r="D462" s="75" t="inlineStr">
        <is>
          <t>Unknown</t>
        </is>
      </c>
      <c r="E462" s="75" t="inlineStr">
        <is>
          <t>ShowPad</t>
        </is>
      </c>
      <c r="F462" s="75" t="n"/>
      <c r="G462" s="75" t="n"/>
      <c r="H462" s="75" t="n"/>
      <c r="I462" s="75" t="n"/>
      <c r="J462" s="75" t="n"/>
      <c r="K462" s="75" t="n"/>
      <c r="L462" s="75" t="n"/>
      <c r="M462" s="75" t="n"/>
      <c r="N462" s="75" t="n"/>
      <c r="O462" s="75" t="n"/>
      <c r="P462" s="75" t="n"/>
      <c r="Q462" s="75" t="n"/>
      <c r="R462" s="75" t="n"/>
      <c r="S462" s="75" t="n"/>
      <c r="T462" s="76" t="n"/>
      <c r="U462" s="75" t="n"/>
      <c r="V462" s="76" t="n"/>
      <c r="Y462" s="153" t="inlineStr">
        <is>
          <t>Global Inv - Mar 2026</t>
        </is>
      </c>
      <c r="Z462" s="153" t="inlineStr">
        <is>
          <t>Sales enablement and content management software</t>
        </is>
      </c>
      <c r="AA462" s="153" t="inlineStr">
        <is>
          <t>Sales</t>
        </is>
      </c>
      <c r="AB462" s="121">
        <f>VLOOKUP(AA462,CategorySummaryTable[],2,FALSE)</f>
        <v/>
      </c>
    </row>
    <row r="463" ht="80" customHeight="1" s="142">
      <c r="B463" s="80" t="inlineStr">
        <is>
          <t>SignNow</t>
        </is>
      </c>
      <c r="C463" s="87" t="n"/>
      <c r="D463" s="87" t="inlineStr">
        <is>
          <t>Duplicate</t>
        </is>
      </c>
      <c r="E463" s="88" t="n"/>
      <c r="F463" s="87" t="n"/>
      <c r="G463" s="88" t="n"/>
      <c r="H463" s="88" t="n"/>
      <c r="I463" s="88" t="n"/>
      <c r="J463" s="88" t="n"/>
      <c r="K463" s="88" t="n"/>
      <c r="L463" s="88" t="n"/>
      <c r="M463" s="88" t="n"/>
      <c r="N463" s="88" t="n"/>
      <c r="O463" s="88" t="n"/>
      <c r="P463" s="88" t="n"/>
      <c r="Q463" s="88" t="inlineStr">
        <is>
          <t>Yes</t>
        </is>
      </c>
      <c r="R463" s="88" t="n">
        <v>3</v>
      </c>
      <c r="S463" s="87" t="inlineStr">
        <is>
          <t>Kevin McParland</t>
        </is>
      </c>
      <c r="T463" s="89" t="n">
        <v>44693</v>
      </c>
      <c r="U463" s="87" t="n"/>
      <c r="V463" s="89" t="n"/>
      <c r="Y463" s="153" t="inlineStr">
        <is>
          <t>Global Inv - Mar 2026</t>
        </is>
      </c>
      <c r="Z463" s="153" t="inlineStr">
        <is>
          <t>Electronic signature (e-signature) software</t>
        </is>
      </c>
      <c r="AA463" s="153" t="inlineStr">
        <is>
          <t>Enterprise Agility</t>
        </is>
      </c>
      <c r="AB463" s="121">
        <f>VLOOKUP(AA463,CategorySummaryTable[],2,FALSE)</f>
        <v/>
      </c>
    </row>
    <row r="464" ht="64" customHeight="1" s="142">
      <c r="B464" s="77" t="inlineStr">
        <is>
          <t>SIM Server</t>
        </is>
      </c>
      <c r="C464" s="75" t="inlineStr">
        <is>
          <t>HP System Insight Manager Server manages all the Physical Servers Globally with sending out alerts</t>
        </is>
      </c>
      <c r="D464" s="75" t="inlineStr">
        <is>
          <t>Unknown</t>
        </is>
      </c>
      <c r="E464" s="75" t="n"/>
      <c r="F464" s="75" t="n"/>
      <c r="G464" s="75" t="n"/>
      <c r="H464" s="75" t="n"/>
      <c r="I464" s="75" t="inlineStr">
        <is>
          <t>Yes</t>
        </is>
      </c>
      <c r="J464" s="75" t="n"/>
      <c r="K464" s="75" t="inlineStr">
        <is>
          <t>On Premises (Client/Server)</t>
        </is>
      </c>
      <c r="L464" s="75" t="n"/>
      <c r="M464" s="75" t="n"/>
      <c r="N464" s="75" t="n"/>
      <c r="O464" s="75" t="n"/>
      <c r="P464" s="75" t="n"/>
      <c r="Q464" s="75" t="inlineStr">
        <is>
          <t>No</t>
        </is>
      </c>
      <c r="R464" s="75" t="n"/>
      <c r="S464" s="75" t="n"/>
      <c r="T464" s="76" t="n"/>
      <c r="U464" s="75" t="inlineStr">
        <is>
          <t>server?</t>
        </is>
      </c>
      <c r="V464" s="76" t="n"/>
      <c r="Y464" s="153" t="inlineStr">
        <is>
          <t>Global Inv - Mar 2026</t>
        </is>
      </c>
      <c r="Z464" s="153" t="inlineStr">
        <is>
          <t>Server hardware management and monitoring software</t>
        </is>
      </c>
      <c r="AA464" s="153" t="inlineStr">
        <is>
          <t>IT Operations</t>
        </is>
      </c>
      <c r="AB464" s="121">
        <f>VLOOKUP(AA464,CategorySummaryTable[],2,FALSE)</f>
        <v/>
      </c>
    </row>
    <row r="465" ht="64" customHeight="1" s="142">
      <c r="B465" s="80" t="inlineStr">
        <is>
          <t>SIM Server</t>
        </is>
      </c>
      <c r="C465" s="75" t="n"/>
      <c r="D465" s="75" t="inlineStr">
        <is>
          <t>Unknown</t>
        </is>
      </c>
      <c r="E465" s="75" t="inlineStr">
        <is>
          <t>ServerSIM</t>
        </is>
      </c>
      <c r="F465" s="75" t="n"/>
      <c r="G465" s="75" t="inlineStr">
        <is>
          <t>Enterprise</t>
        </is>
      </c>
      <c r="H465" s="75" t="n"/>
      <c r="I465" s="75" t="inlineStr">
        <is>
          <t>Yes</t>
        </is>
      </c>
      <c r="J465" s="75" t="n"/>
      <c r="K465" s="75" t="n"/>
      <c r="L465" s="75" t="n"/>
      <c r="M465" s="75" t="n"/>
      <c r="N465" s="75" t="n"/>
      <c r="O465" s="75" t="n"/>
      <c r="P465" s="75" t="n"/>
      <c r="Q465" s="75" t="inlineStr">
        <is>
          <t>No</t>
        </is>
      </c>
      <c r="R465" s="75" t="n"/>
      <c r="S465" s="75" t="n"/>
      <c r="T465" s="76" t="n"/>
      <c r="U465" s="75" t="n"/>
      <c r="V465" s="76" t="n"/>
      <c r="Y465" s="153" t="inlineStr">
        <is>
          <t>Global Inv - Mar 2026</t>
        </is>
      </c>
      <c r="Z465" s="153" t="inlineStr">
        <is>
          <t>Server hardware management and monitoring software</t>
        </is>
      </c>
      <c r="AA465" s="153" t="inlineStr">
        <is>
          <t>IT Operations</t>
        </is>
      </c>
      <c r="AB465" s="121">
        <f>VLOOKUP(AA465,CategorySummaryTable[],2,FALSE)</f>
        <v/>
      </c>
    </row>
    <row r="466" ht="64" customHeight="1" s="142">
      <c r="B466" s="91" t="inlineStr">
        <is>
          <t>Simplify3d</t>
        </is>
      </c>
      <c r="C466" s="75" t="inlineStr">
        <is>
          <t>Product drawing and design software- 3D print software?</t>
        </is>
      </c>
      <c r="D466" s="75" t="inlineStr">
        <is>
          <t>Active</t>
        </is>
      </c>
      <c r="E466" s="75" t="inlineStr">
        <is>
          <t>Simplify3d</t>
        </is>
      </c>
      <c r="F466" s="75" t="n"/>
      <c r="G466" s="75" t="n"/>
      <c r="H466" s="75" t="inlineStr">
        <is>
          <t>Cincinnati</t>
        </is>
      </c>
      <c r="I466" s="75" t="inlineStr">
        <is>
          <t>Yes</t>
        </is>
      </c>
      <c r="J466" s="75" t="n"/>
      <c r="K466" s="75" t="n"/>
      <c r="L466" s="75" t="n"/>
      <c r="M466" s="75" t="n"/>
      <c r="N466" s="75" t="n"/>
      <c r="O466" s="75" t="n"/>
      <c r="P466" s="75" t="n"/>
      <c r="Q466" s="75" t="inlineStr">
        <is>
          <t>N</t>
        </is>
      </c>
      <c r="R466" s="75" t="n"/>
      <c r="S466" s="75" t="inlineStr">
        <is>
          <t>Michael Patterson</t>
        </is>
      </c>
      <c r="T466" s="76" t="n">
        <v>44516</v>
      </c>
      <c r="U466" s="75" t="inlineStr">
        <is>
          <t>Nov 16, 2021 via Michael Patterson- check Status</t>
        </is>
      </c>
      <c r="V466" s="76" t="n">
        <v>44516</v>
      </c>
      <c r="Y466" s="153" t="inlineStr">
        <is>
          <t>Global Inv - Mar 2026</t>
        </is>
      </c>
      <c r="Z466" s="153" t="inlineStr">
        <is>
          <t>3D printing slicer and toolpath generation software</t>
        </is>
      </c>
      <c r="AA466" s="153" t="inlineStr">
        <is>
          <t>Engineering</t>
        </is>
      </c>
      <c r="AB466" s="121">
        <f>VLOOKUP(AA466,CategorySummaryTable[],2,FALSE)</f>
        <v/>
      </c>
    </row>
    <row r="467" ht="80" customHeight="1" s="142">
      <c r="B467" s="77" t="inlineStr">
        <is>
          <t>SmartDraw</t>
        </is>
      </c>
      <c r="C467" s="75" t="n"/>
      <c r="D467" s="75" t="inlineStr">
        <is>
          <t>Unknown</t>
        </is>
      </c>
      <c r="E467" s="75" t="inlineStr">
        <is>
          <t>SmartDraw</t>
        </is>
      </c>
      <c r="F467" s="75" t="n"/>
      <c r="G467" s="75" t="n"/>
      <c r="H467" s="75" t="inlineStr">
        <is>
          <t>Puerto Rico</t>
        </is>
      </c>
      <c r="I467" s="75" t="n"/>
      <c r="J467" s="75" t="n"/>
      <c r="K467" s="75" t="inlineStr">
        <is>
          <t>Desktop</t>
        </is>
      </c>
      <c r="L467" s="75" t="n"/>
      <c r="M467" s="75" t="n"/>
      <c r="N467" s="75" t="n"/>
      <c r="O467" s="75" t="n"/>
      <c r="P467" s="75" t="n"/>
      <c r="Q467" s="75" t="inlineStr">
        <is>
          <t>N</t>
        </is>
      </c>
      <c r="R467" s="75" t="n"/>
      <c r="S467" s="75" t="n"/>
      <c r="T467" s="76" t="n"/>
      <c r="U467" s="75" t="n"/>
      <c r="V467" s="76" t="n"/>
      <c r="Y467" s="153" t="inlineStr">
        <is>
          <t>Global Inv - Mar 2026</t>
        </is>
      </c>
      <c r="Z467" s="153" t="inlineStr">
        <is>
          <t>Diagramming and flowchart creation software</t>
        </is>
      </c>
      <c r="AA467" s="153" t="inlineStr">
        <is>
          <t>Enterprise Agility</t>
        </is>
      </c>
      <c r="AB467" s="121">
        <f>VLOOKUP(AA467,CategorySummaryTable[],2,FALSE)</f>
        <v/>
      </c>
    </row>
    <row r="468" ht="64" customHeight="1" s="142">
      <c r="B468" s="57" t="inlineStr">
        <is>
          <t>SmartSVN</t>
        </is>
      </c>
      <c r="C468" s="75" t="inlineStr">
        <is>
          <t>GUI front-end for the Subversion revision system</t>
        </is>
      </c>
      <c r="D468" s="75" t="inlineStr">
        <is>
          <t>Active</t>
        </is>
      </c>
      <c r="E468" s="75" t="inlineStr">
        <is>
          <t>Syntevo</t>
        </is>
      </c>
      <c r="F468" s="75" t="n"/>
      <c r="G468" s="75" t="n"/>
      <c r="H468" s="75" t="inlineStr">
        <is>
          <t>Billerica</t>
        </is>
      </c>
      <c r="I468" s="75" t="n"/>
      <c r="J468" s="75" t="n"/>
      <c r="K468" s="75" t="inlineStr">
        <is>
          <t>Local</t>
        </is>
      </c>
      <c r="L468" s="75" t="n"/>
      <c r="M468" s="75" t="n"/>
      <c r="N468" s="75" t="n"/>
      <c r="O468" s="75" t="n"/>
      <c r="P468" s="75" t="n"/>
      <c r="Q468" s="75" t="inlineStr">
        <is>
          <t>No</t>
        </is>
      </c>
      <c r="R468" s="75" t="n"/>
      <c r="S468" s="75" t="inlineStr">
        <is>
          <t>Gary Beckmann</t>
        </is>
      </c>
      <c r="T468" s="76" t="n">
        <v>44581</v>
      </c>
      <c r="U468" s="75" t="inlineStr">
        <is>
          <t>Jan 20, 2022 via Gary Beckmann</t>
        </is>
      </c>
      <c r="V468" s="76" t="n">
        <v>44581</v>
      </c>
      <c r="Y468" s="153" t="inlineStr">
        <is>
          <t>Global Inv - Mar 2026</t>
        </is>
      </c>
      <c r="Z468" s="153" t="inlineStr">
        <is>
          <t>GUI client for the Subversion (SVN) version control system</t>
        </is>
      </c>
      <c r="AA468" s="153" t="inlineStr">
        <is>
          <t>IT Operations</t>
        </is>
      </c>
      <c r="AB468" s="121">
        <f>VLOOKUP(AA468,CategorySummaryTable[],2,FALSE)</f>
        <v/>
      </c>
    </row>
    <row r="469" ht="80" customHeight="1" s="142">
      <c r="B469" s="80" t="inlineStr">
        <is>
          <t>SmartTrak</t>
        </is>
      </c>
      <c r="C469" s="75" t="inlineStr">
        <is>
          <t>online business intelligence and decision-making tools for life sciences product management professionals</t>
        </is>
      </c>
      <c r="D469" s="75" t="inlineStr">
        <is>
          <t>Unknown</t>
        </is>
      </c>
      <c r="E469" s="75" t="inlineStr">
        <is>
          <t>SmartTrak</t>
        </is>
      </c>
      <c r="F469" s="75" t="n"/>
      <c r="G469" s="75" t="n"/>
      <c r="H469" s="75" t="n"/>
      <c r="I469" s="75" t="n"/>
      <c r="J469" s="75" t="inlineStr">
        <is>
          <t>Other</t>
        </is>
      </c>
      <c r="K469" s="75" t="n"/>
      <c r="L469" s="75" t="n"/>
      <c r="M469" s="75" t="n"/>
      <c r="N469" s="75" t="n"/>
      <c r="O469" s="75" t="n"/>
      <c r="P469" s="75" t="n"/>
      <c r="Q469" s="75" t="n"/>
      <c r="R469" s="75" t="n"/>
      <c r="S469" s="75" t="n"/>
      <c r="T469" s="76" t="n"/>
      <c r="U469" s="75" t="n"/>
      <c r="V469" s="76" t="n"/>
      <c r="Y469" s="153" t="inlineStr">
        <is>
          <t>Global Inv - Mar 2026</t>
        </is>
      </c>
      <c r="Z469" s="153" t="inlineStr">
        <is>
          <t>Life sciences market business intelligence and analytics platform</t>
        </is>
      </c>
      <c r="AA469" s="153" t="inlineStr">
        <is>
          <t>Data and Analytics</t>
        </is>
      </c>
      <c r="AB469" s="121">
        <f>VLOOKUP(AA469,CategorySummaryTable[],2,FALSE)</f>
        <v/>
      </c>
    </row>
    <row r="470" ht="64" customHeight="1" s="142">
      <c r="B470" s="80" t="inlineStr">
        <is>
          <t>SMTP</t>
        </is>
      </c>
      <c r="C470" s="87" t="inlineStr">
        <is>
          <t>Email</t>
        </is>
      </c>
      <c r="D470" s="87" t="n"/>
      <c r="E470" s="88" t="n"/>
      <c r="F470" s="87" t="n"/>
      <c r="G470" s="88" t="n"/>
      <c r="H470" s="88" t="n"/>
      <c r="I470" s="88" t="n"/>
      <c r="J470" s="88" t="n"/>
      <c r="K470" s="88" t="n"/>
      <c r="L470" s="88" t="n"/>
      <c r="M470" s="88" t="n"/>
      <c r="N470" s="88" t="inlineStr">
        <is>
          <t>Yes</t>
        </is>
      </c>
      <c r="O470" s="88" t="inlineStr">
        <is>
          <t>Kerberos</t>
        </is>
      </c>
      <c r="P470" s="88" t="n"/>
      <c r="Q470" s="88" t="n"/>
      <c r="R470" s="88" t="n"/>
      <c r="S470" s="87" t="inlineStr">
        <is>
          <t>Vincent Lu</t>
        </is>
      </c>
      <c r="T470" s="89" t="n">
        <v>45001</v>
      </c>
      <c r="U470" s="87" t="n"/>
      <c r="V470" s="89" t="n"/>
      <c r="Y470" s="153" t="inlineStr">
        <is>
          <t>Global Inv - Mar 2026</t>
        </is>
      </c>
      <c r="Z470" s="153" t="inlineStr">
        <is>
          <t>Email message transport protocol/service</t>
        </is>
      </c>
      <c r="AA470" s="153" t="inlineStr">
        <is>
          <t>IT Operations</t>
        </is>
      </c>
      <c r="AB470" s="121">
        <f>VLOOKUP(AA470,CategorySummaryTable[],2,FALSE)</f>
        <v/>
      </c>
    </row>
    <row r="471" ht="80" customHeight="1" s="142">
      <c r="B471" s="56" t="inlineStr">
        <is>
          <t>SoftMax Pro 6</t>
        </is>
      </c>
      <c r="C471" s="75" t="n"/>
      <c r="D471" s="75" t="inlineStr">
        <is>
          <t>Unknown</t>
        </is>
      </c>
      <c r="E471" s="75" t="inlineStr">
        <is>
          <t>Molecular Devices</t>
        </is>
      </c>
      <c r="F471" s="75" t="n"/>
      <c r="G471" s="75" t="n"/>
      <c r="H471" s="75" t="inlineStr">
        <is>
          <t>Plainsboro Corp</t>
        </is>
      </c>
      <c r="I471" s="75" t="n"/>
      <c r="J471" s="75" t="n"/>
      <c r="K471" s="75" t="inlineStr">
        <is>
          <t>Desktop</t>
        </is>
      </c>
      <c r="L471" s="75" t="n"/>
      <c r="M471" s="75" t="n"/>
      <c r="N471" s="75" t="n"/>
      <c r="O471" s="75" t="n"/>
      <c r="P471" s="75" t="n"/>
      <c r="Q471" s="75" t="inlineStr">
        <is>
          <t>Y</t>
        </is>
      </c>
      <c r="R471" s="75" t="n"/>
      <c r="S471" s="75" t="n"/>
      <c r="T471" s="76" t="n"/>
      <c r="U471" s="75" t="n"/>
      <c r="V471" s="76" t="n"/>
      <c r="Y471" s="153" t="inlineStr">
        <is>
          <t>Global Inv - Mar 2026</t>
        </is>
      </c>
      <c r="Z471" s="153" t="inlineStr">
        <is>
          <t>Microplate reader data acquisition and analysis software</t>
        </is>
      </c>
      <c r="AA471" s="153" t="inlineStr">
        <is>
          <t>Clinical Manufacturing Process</t>
        </is>
      </c>
      <c r="AB471" s="121">
        <f>VLOOKUP(AA471,CategorySummaryTable[],2,FALSE)</f>
        <v/>
      </c>
    </row>
    <row r="472" ht="64" customHeight="1" s="142">
      <c r="B472" s="77" t="inlineStr">
        <is>
          <t>Software VersioN Control (SVNC)</t>
        </is>
      </c>
      <c r="C472" s="75" t="inlineStr">
        <is>
          <t>Repository and staging for Oracle custom code to be moved to production.</t>
        </is>
      </c>
      <c r="D472" s="75" t="inlineStr">
        <is>
          <t>Unknown</t>
        </is>
      </c>
      <c r="E472" s="75" t="n"/>
      <c r="F472" s="75" t="n"/>
      <c r="G472" s="75" t="inlineStr">
        <is>
          <t>Enterprise</t>
        </is>
      </c>
      <c r="H472" s="75" t="n"/>
      <c r="I472" s="75" t="inlineStr">
        <is>
          <t>Yes</t>
        </is>
      </c>
      <c r="J472" s="75" t="n"/>
      <c r="K472" s="75" t="inlineStr">
        <is>
          <t>On Premises (Client/Server)</t>
        </is>
      </c>
      <c r="L472" s="75" t="n"/>
      <c r="M472" s="75" t="n"/>
      <c r="N472" s="75" t="n"/>
      <c r="O472" s="75" t="n"/>
      <c r="P472" s="75" t="n"/>
      <c r="Q472" s="75" t="inlineStr">
        <is>
          <t>No</t>
        </is>
      </c>
      <c r="R472" s="75" t="n"/>
      <c r="S472" s="75" t="n"/>
      <c r="T472" s="76" t="n"/>
      <c r="U472" s="75" t="n"/>
      <c r="V472" s="76" t="n"/>
      <c r="Y472" s="153" t="inlineStr">
        <is>
          <t>Global Inv - Mar 2026</t>
        </is>
      </c>
      <c r="Z472" s="153" t="inlineStr">
        <is>
          <t>NA</t>
        </is>
      </c>
      <c r="AA472" s="153" t="inlineStr">
        <is>
          <t>IT Operations</t>
        </is>
      </c>
      <c r="AB472" s="121">
        <f>VLOOKUP(AA472,CategorySummaryTable[],2,FALSE)</f>
        <v/>
      </c>
    </row>
    <row r="473" ht="64" customHeight="1" s="142">
      <c r="B473" s="80" t="inlineStr">
        <is>
          <t>Solarwinds</t>
        </is>
      </c>
      <c r="C473" s="75" t="inlineStr">
        <is>
          <t>Main Network Management System and Configuration Repository.</t>
        </is>
      </c>
      <c r="D473" s="75" t="inlineStr">
        <is>
          <t>Unknown</t>
        </is>
      </c>
      <c r="E473" s="75" t="inlineStr">
        <is>
          <t>SolarWinds</t>
        </is>
      </c>
      <c r="F473" s="75" t="n"/>
      <c r="G473" s="75" t="inlineStr">
        <is>
          <t>Enterprise</t>
        </is>
      </c>
      <c r="H473" s="75" t="n"/>
      <c r="I473" s="75" t="inlineStr">
        <is>
          <t>Yes</t>
        </is>
      </c>
      <c r="J473" s="75" t="n"/>
      <c r="K473" s="75" t="inlineStr">
        <is>
          <t>On Premises (Client/Server)</t>
        </is>
      </c>
      <c r="L473" s="75" t="n"/>
      <c r="M473" s="75" t="n"/>
      <c r="N473" s="75" t="n"/>
      <c r="O473" s="75" t="n"/>
      <c r="P473" s="75" t="n"/>
      <c r="Q473" s="75" t="inlineStr">
        <is>
          <t>No</t>
        </is>
      </c>
      <c r="R473" s="75" t="n"/>
      <c r="S473" s="75" t="n"/>
      <c r="T473" s="76" t="n"/>
      <c r="U473" s="75" t="n"/>
      <c r="V473" s="76" t="n"/>
      <c r="Y473" s="153" t="inlineStr">
        <is>
          <t>Global Inv - Mar 2026</t>
        </is>
      </c>
      <c r="Z473" s="153" t="inlineStr">
        <is>
          <t>Network performance monitoring and management software</t>
        </is>
      </c>
      <c r="AA473" s="153" t="inlineStr">
        <is>
          <t>IT Operations</t>
        </is>
      </c>
      <c r="AB473" s="121">
        <f>VLOOKUP(AA473,CategorySummaryTable[],2,FALSE)</f>
        <v/>
      </c>
    </row>
    <row r="474" ht="64" customHeight="1" s="142">
      <c r="B474" s="80" t="inlineStr">
        <is>
          <t>SolarWinds SQL Performance Monitor Server for EDW</t>
        </is>
      </c>
      <c r="C474" s="75" t="inlineStr">
        <is>
          <t>SQL Performance Monitor Server. Used to monitor EDW SQL Server.</t>
        </is>
      </c>
      <c r="D474" s="75" t="inlineStr">
        <is>
          <t>Unknown</t>
        </is>
      </c>
      <c r="E474" s="75" t="inlineStr">
        <is>
          <t>SolarWinds</t>
        </is>
      </c>
      <c r="F474" s="75" t="n"/>
      <c r="G474" s="75" t="n"/>
      <c r="H474" s="75" t="inlineStr">
        <is>
          <t>Corporate</t>
        </is>
      </c>
      <c r="I474" s="75" t="inlineStr">
        <is>
          <t>Yes</t>
        </is>
      </c>
      <c r="J474" s="75" t="n"/>
      <c r="K474" s="75" t="n"/>
      <c r="L474" s="75" t="n"/>
      <c r="M474" s="75" t="n"/>
      <c r="N474" s="75" t="n"/>
      <c r="O474" s="75" t="n"/>
      <c r="P474" s="75" t="n"/>
      <c r="Q474" s="75" t="inlineStr">
        <is>
          <t>No</t>
        </is>
      </c>
      <c r="R474" s="75" t="n"/>
      <c r="S474" s="75" t="n"/>
      <c r="T474" s="76" t="n"/>
      <c r="U474" s="75" t="inlineStr">
        <is>
          <t>server?</t>
        </is>
      </c>
      <c r="V474" s="76" t="n"/>
      <c r="Y474" s="153" t="inlineStr">
        <is>
          <t>Global Inv - Mar 2026</t>
        </is>
      </c>
      <c r="Z474" s="153" t="inlineStr">
        <is>
          <t>Database (SQL Server) performance monitoring software</t>
        </is>
      </c>
      <c r="AA474" s="153" t="inlineStr">
        <is>
          <t>IT Operations</t>
        </is>
      </c>
      <c r="AB474" s="121">
        <f>VLOOKUP(AA474,CategorySummaryTable[],2,FALSE)</f>
        <v/>
      </c>
    </row>
    <row r="475" ht="64" customHeight="1" s="142">
      <c r="B475" s="91" t="inlineStr">
        <is>
          <t>Solid Works</t>
        </is>
      </c>
      <c r="C475" s="75" t="inlineStr">
        <is>
          <t>CAD system for product designs and drawings</t>
        </is>
      </c>
      <c r="D475" s="75" t="inlineStr">
        <is>
          <t>Active</t>
        </is>
      </c>
      <c r="E475" s="75" t="inlineStr">
        <is>
          <t>Dassault Systèmes S.A.</t>
        </is>
      </c>
      <c r="F475" s="75" t="n"/>
      <c r="G475" s="75" t="n"/>
      <c r="H475" s="75" t="inlineStr">
        <is>
          <t>Cincinnati</t>
        </is>
      </c>
      <c r="I475" s="75" t="inlineStr">
        <is>
          <t>Yes</t>
        </is>
      </c>
      <c r="J475" s="75" t="n"/>
      <c r="K475" s="75" t="inlineStr">
        <is>
          <t>Desktop</t>
        </is>
      </c>
      <c r="L475" s="75" t="n"/>
      <c r="M475" s="75" t="n"/>
      <c r="N475" s="75" t="n"/>
      <c r="O475" s="75" t="n"/>
      <c r="P475" s="75" t="n"/>
      <c r="Q475" s="75" t="inlineStr">
        <is>
          <t>Y</t>
        </is>
      </c>
      <c r="R475" s="75" t="n"/>
      <c r="S475" s="75" t="inlineStr">
        <is>
          <t>Michael Patterson</t>
        </is>
      </c>
      <c r="T475" s="76" t="n">
        <v>44516</v>
      </c>
      <c r="U475" s="75" t="inlineStr">
        <is>
          <t>Nov 16, 2021 via Michael Patterson- check Status</t>
        </is>
      </c>
      <c r="V475" s="76" t="n">
        <v>44516</v>
      </c>
      <c r="Y475" s="153" t="inlineStr">
        <is>
          <t>Global Inv - Mar 2026</t>
        </is>
      </c>
      <c r="Z475" s="153" t="inlineStr">
        <is>
          <t>3D computer-aided design (CAD) software</t>
        </is>
      </c>
      <c r="AA475" s="153" t="inlineStr">
        <is>
          <t>Engineering</t>
        </is>
      </c>
      <c r="AB475" s="121">
        <f>VLOOKUP(AA475,CategorySummaryTable[],2,FALSE)</f>
        <v/>
      </c>
    </row>
    <row r="476" ht="64" customHeight="1" s="142">
      <c r="B476" s="77" t="inlineStr">
        <is>
          <t>Solid Works</t>
        </is>
      </c>
      <c r="C476" s="75" t="n"/>
      <c r="D476" s="75" t="inlineStr">
        <is>
          <t>Unknown</t>
        </is>
      </c>
      <c r="E476" s="75" t="inlineStr">
        <is>
          <t>Dassault Systèmes S.A.</t>
        </is>
      </c>
      <c r="F476" s="75" t="n"/>
      <c r="G476" s="75" t="n"/>
      <c r="H476" s="75" t="inlineStr">
        <is>
          <t>Plainsboro Corp</t>
        </is>
      </c>
      <c r="I476" s="75" t="n"/>
      <c r="J476" s="75" t="n"/>
      <c r="K476" s="75" t="inlineStr">
        <is>
          <t>Desktop</t>
        </is>
      </c>
      <c r="L476" s="75" t="n"/>
      <c r="M476" s="75" t="n"/>
      <c r="N476" s="75" t="n"/>
      <c r="O476" s="75" t="n"/>
      <c r="P476" s="75" t="n"/>
      <c r="Q476" s="75" t="inlineStr">
        <is>
          <t>N</t>
        </is>
      </c>
      <c r="R476" s="75" t="n"/>
      <c r="S476" s="75" t="n"/>
      <c r="T476" s="76" t="n"/>
      <c r="U476" s="75" t="n"/>
      <c r="V476" s="76" t="n"/>
      <c r="Y476" s="153" t="inlineStr">
        <is>
          <t>Global Inv - Mar 2026</t>
        </is>
      </c>
      <c r="Z476" s="153" t="inlineStr">
        <is>
          <t>3D computer-aided design (CAD) software</t>
        </is>
      </c>
      <c r="AA476" s="153" t="inlineStr">
        <is>
          <t>Engineering</t>
        </is>
      </c>
      <c r="AB476" s="121">
        <f>VLOOKUP(AA476,CategorySummaryTable[],2,FALSE)</f>
        <v/>
      </c>
    </row>
    <row r="477" ht="64" customHeight="1" s="142">
      <c r="B477" s="77" t="inlineStr">
        <is>
          <t>SolidCam</t>
        </is>
      </c>
      <c r="C477" s="75" t="n"/>
      <c r="D477" s="75" t="inlineStr">
        <is>
          <t>Unknown</t>
        </is>
      </c>
      <c r="E477" s="75" t="inlineStr">
        <is>
          <t>Dassault Systèmes S.A.</t>
        </is>
      </c>
      <c r="F477" s="75" t="n"/>
      <c r="G477" s="75" t="n"/>
      <c r="H477" s="75" t="inlineStr">
        <is>
          <t>Andover</t>
        </is>
      </c>
      <c r="I477" s="75" t="inlineStr">
        <is>
          <t>Yes</t>
        </is>
      </c>
      <c r="J477" s="75" t="n"/>
      <c r="K477" s="75" t="inlineStr">
        <is>
          <t>On Premises (Client/Server)</t>
        </is>
      </c>
      <c r="L477" s="75" t="n"/>
      <c r="M477" s="75" t="n"/>
      <c r="N477" s="75" t="n"/>
      <c r="O477" s="75" t="n"/>
      <c r="P477" s="75" t="n"/>
      <c r="Q477" s="75" t="inlineStr">
        <is>
          <t>N</t>
        </is>
      </c>
      <c r="R477" s="75" t="n"/>
      <c r="S477" s="75" t="n"/>
      <c r="T477" s="76" t="n"/>
      <c r="U477" s="75" t="n"/>
      <c r="V477" s="76" t="n"/>
      <c r="Y477" s="153" t="inlineStr">
        <is>
          <t>Global Inv - Mar 2026</t>
        </is>
      </c>
      <c r="Z477" s="153" t="inlineStr">
        <is>
          <t>Computer-aided manufacturing (CAM) software integrated with CAD</t>
        </is>
      </c>
      <c r="AA477" s="153" t="inlineStr">
        <is>
          <t>Engineering</t>
        </is>
      </c>
      <c r="AB477" s="121">
        <f>VLOOKUP(AA477,CategorySummaryTable[],2,FALSE)</f>
        <v/>
      </c>
    </row>
    <row r="478" ht="64" customHeight="1" s="142">
      <c r="B478" s="77" t="inlineStr">
        <is>
          <t>SolidWorks eDrawings 2012</t>
        </is>
      </c>
      <c r="C478" s="75" t="n"/>
      <c r="D478" s="75" t="inlineStr">
        <is>
          <t>Unknown</t>
        </is>
      </c>
      <c r="E478" s="75" t="inlineStr">
        <is>
          <t>Dassault Systèmes S.A.</t>
        </is>
      </c>
      <c r="F478" s="75" t="n"/>
      <c r="G478" s="75" t="n"/>
      <c r="H478" s="75" t="inlineStr">
        <is>
          <t>Germany</t>
        </is>
      </c>
      <c r="I478" s="75" t="n"/>
      <c r="J478" s="75" t="n"/>
      <c r="K478" s="75" t="inlineStr">
        <is>
          <t>Desktop</t>
        </is>
      </c>
      <c r="L478" s="75" t="n"/>
      <c r="M478" s="75" t="n"/>
      <c r="N478" s="75" t="n"/>
      <c r="O478" s="75" t="n"/>
      <c r="P478" s="75" t="n"/>
      <c r="Q478" s="75" t="inlineStr">
        <is>
          <t>N</t>
        </is>
      </c>
      <c r="R478" s="75" t="n"/>
      <c r="S478" s="75" t="n"/>
      <c r="T478" s="76" t="n"/>
      <c r="U478" s="75" t="n"/>
      <c r="V478" s="76" t="n"/>
      <c r="Y478" s="153" t="inlineStr">
        <is>
          <t>Global Inv - Mar 2026</t>
        </is>
      </c>
      <c r="Z478" s="153" t="inlineStr">
        <is>
          <t>CAD design file viewing and collaboration (eDrawings) software</t>
        </is>
      </c>
      <c r="AA478" s="153" t="inlineStr">
        <is>
          <t>Engineering</t>
        </is>
      </c>
      <c r="AB478" s="121">
        <f>VLOOKUP(AA478,CategorySummaryTable[],2,FALSE)</f>
        <v/>
      </c>
    </row>
    <row r="479" ht="64" customHeight="1" s="142">
      <c r="B479" s="80" t="inlineStr">
        <is>
          <t>SolidWorks Licensing Server</t>
        </is>
      </c>
      <c r="C479" s="75" t="inlineStr">
        <is>
          <t>Able to tolerate longer downtime off hours.</t>
        </is>
      </c>
      <c r="D479" s="75" t="inlineStr">
        <is>
          <t>Unknown</t>
        </is>
      </c>
      <c r="E479" s="75" t="inlineStr">
        <is>
          <t>Dassault Systèmes S.A.</t>
        </is>
      </c>
      <c r="F479" s="75" t="n"/>
      <c r="G479" s="75" t="n"/>
      <c r="H479" s="75" t="inlineStr">
        <is>
          <t>Americas - Mansfield</t>
        </is>
      </c>
      <c r="I479" s="75" t="inlineStr">
        <is>
          <t>Yes</t>
        </is>
      </c>
      <c r="J479" s="75" t="n"/>
      <c r="K479" s="75" t="n"/>
      <c r="L479" s="75" t="n"/>
      <c r="M479" s="75" t="n"/>
      <c r="N479" s="75" t="n"/>
      <c r="O479" s="75" t="n"/>
      <c r="P479" s="75" t="n"/>
      <c r="Q479" s="75" t="inlineStr">
        <is>
          <t>No</t>
        </is>
      </c>
      <c r="R479" s="75" t="n"/>
      <c r="S479" s="75" t="n"/>
      <c r="T479" s="76" t="n"/>
      <c r="U479" s="75" t="inlineStr">
        <is>
          <t>server?</t>
        </is>
      </c>
      <c r="V479" s="76" t="n"/>
      <c r="Y479" s="153" t="inlineStr">
        <is>
          <t>Global Inv - Mar 2026</t>
        </is>
      </c>
      <c r="Z479" s="153" t="inlineStr">
        <is>
          <t>License management server for CAD software</t>
        </is>
      </c>
      <c r="AA479" s="153" t="inlineStr">
        <is>
          <t>Engineering</t>
        </is>
      </c>
      <c r="AB479" s="121">
        <f>VLOOKUP(AA479,CategorySummaryTable[],2,FALSE)</f>
        <v/>
      </c>
    </row>
    <row r="480" ht="64" customHeight="1" s="142">
      <c r="B480" s="77" t="inlineStr">
        <is>
          <t>Solidworks Simulation</t>
        </is>
      </c>
      <c r="C480" s="75" t="n"/>
      <c r="D480" s="75" t="inlineStr">
        <is>
          <t>Unknown</t>
        </is>
      </c>
      <c r="E480" s="75" t="inlineStr">
        <is>
          <t>Dassault Systèmes S.A.</t>
        </is>
      </c>
      <c r="F480" s="75" t="n"/>
      <c r="G480" s="75" t="n"/>
      <c r="H480" s="75" t="inlineStr">
        <is>
          <t>Plainsboro Corp</t>
        </is>
      </c>
      <c r="I480" s="75" t="n"/>
      <c r="J480" s="75" t="n"/>
      <c r="K480" s="75" t="inlineStr">
        <is>
          <t>Desktop</t>
        </is>
      </c>
      <c r="L480" s="75" t="n"/>
      <c r="M480" s="75" t="n"/>
      <c r="N480" s="75" t="n"/>
      <c r="O480" s="75" t="n"/>
      <c r="P480" s="75" t="n"/>
      <c r="Q480" s="75" t="inlineStr">
        <is>
          <t>N</t>
        </is>
      </c>
      <c r="R480" s="75" t="n"/>
      <c r="S480" s="75" t="n"/>
      <c r="T480" s="76" t="n"/>
      <c r="U480" s="75" t="n"/>
      <c r="V480" s="76" t="n"/>
      <c r="Y480" s="153" t="inlineStr">
        <is>
          <t>Global Inv - Mar 2026</t>
        </is>
      </c>
      <c r="Z480" s="153" t="inlineStr">
        <is>
          <t>Finite element analysis/structural simulation software</t>
        </is>
      </c>
      <c r="AA480" s="153" t="inlineStr">
        <is>
          <t>Engineering</t>
        </is>
      </c>
      <c r="AB480" s="121">
        <f>VLOOKUP(AA480,CategorySummaryTable[],2,FALSE)</f>
        <v/>
      </c>
    </row>
    <row r="481" ht="80" customHeight="1" s="142">
      <c r="B481" s="80" t="inlineStr">
        <is>
          <t>Solium Equity Management</t>
        </is>
      </c>
      <c r="C481" s="75" t="inlineStr">
        <is>
          <t>Equity management</t>
        </is>
      </c>
      <c r="D481" s="75" t="inlineStr">
        <is>
          <t>Unknown</t>
        </is>
      </c>
      <c r="E481" s="75" t="inlineStr">
        <is>
          <t>Shareworks</t>
        </is>
      </c>
      <c r="F481" s="75" t="n"/>
      <c r="G481" s="75" t="n"/>
      <c r="H481" s="75" t="n"/>
      <c r="I481" s="75" t="n"/>
      <c r="J481" s="75" t="inlineStr">
        <is>
          <t>Other</t>
        </is>
      </c>
      <c r="K481" s="75" t="n"/>
      <c r="L481" s="75" t="n"/>
      <c r="M481" s="75" t="n"/>
      <c r="N481" s="75" t="n"/>
      <c r="O481" s="75" t="n"/>
      <c r="P481" s="75" t="n"/>
      <c r="Q481" s="75" t="n"/>
      <c r="R481" s="75" t="n"/>
      <c r="S481" s="75" t="n"/>
      <c r="T481" s="76" t="n"/>
      <c r="U481" s="75" t="n"/>
      <c r="V481" s="76" t="n"/>
      <c r="Y481" s="153" t="inlineStr">
        <is>
          <t>Global Inv - Mar 2026</t>
        </is>
      </c>
      <c r="Z481" s="153" t="inlineStr">
        <is>
          <t>Equity/stock plan and cap table management software</t>
        </is>
      </c>
      <c r="AA481" s="153" t="inlineStr">
        <is>
          <t>Human Resources and Talent</t>
        </is>
      </c>
      <c r="AB481" s="121">
        <f>VLOOKUP(AA481,CategorySummaryTable[],2,FALSE)</f>
        <v/>
      </c>
    </row>
    <row r="482" ht="64" customHeight="1" s="142">
      <c r="B482" s="80" t="inlineStr">
        <is>
          <t>Soti MobiControl</t>
        </is>
      </c>
      <c r="C482" s="75" t="inlineStr">
        <is>
          <t>Enterprise Mobility Management (EMM) solution for visibility and control over business-critical mobile devices</t>
        </is>
      </c>
      <c r="D482" s="75" t="inlineStr">
        <is>
          <t>Unknown</t>
        </is>
      </c>
      <c r="E482" s="75" t="inlineStr">
        <is>
          <t>SOTI</t>
        </is>
      </c>
      <c r="F482" s="75" t="n"/>
      <c r="G482" s="75" t="n"/>
      <c r="H482" s="75" t="n"/>
      <c r="I482" s="75" t="n"/>
      <c r="J482" s="75" t="inlineStr">
        <is>
          <t>Other</t>
        </is>
      </c>
      <c r="K482" s="75" t="n"/>
      <c r="L482" s="75" t="n"/>
      <c r="M482" s="75" t="n"/>
      <c r="N482" s="75" t="n"/>
      <c r="O482" s="75" t="n"/>
      <c r="P482" s="75" t="n"/>
      <c r="Q482" s="75" t="n"/>
      <c r="R482" s="75" t="n"/>
      <c r="S482" s="75" t="n"/>
      <c r="T482" s="76" t="n"/>
      <c r="U482" s="75" t="n"/>
      <c r="V482" s="76" t="n"/>
      <c r="Y482" s="153" t="inlineStr">
        <is>
          <t>Global Inv - Mar 2026</t>
        </is>
      </c>
      <c r="Z482" s="153" t="inlineStr">
        <is>
          <t>Enterprise mobility management (EMM) software for mobile devices</t>
        </is>
      </c>
      <c r="AA482" s="153" t="inlineStr">
        <is>
          <t>IT Operations</t>
        </is>
      </c>
      <c r="AB482" s="121">
        <f>VLOOKUP(AA482,CategorySummaryTable[],2,FALSE)</f>
        <v/>
      </c>
    </row>
    <row r="483" ht="80" customHeight="1" s="142">
      <c r="B483" s="82" t="inlineStr">
        <is>
          <t>Sovos</t>
        </is>
      </c>
      <c r="C483" s="75" t="inlineStr">
        <is>
          <t>Software purchased to manage Integra's 1099's.</t>
        </is>
      </c>
      <c r="D483" s="75" t="inlineStr">
        <is>
          <t>Unknown</t>
        </is>
      </c>
      <c r="E483" s="75" t="inlineStr">
        <is>
          <t>Sovos Compliance</t>
        </is>
      </c>
      <c r="F483" s="75" t="n"/>
      <c r="G483" s="75" t="n"/>
      <c r="H483" s="75" t="inlineStr">
        <is>
          <t>Princeton, NJ</t>
        </is>
      </c>
      <c r="I483" s="75" t="n"/>
      <c r="J483" s="75" t="inlineStr">
        <is>
          <t>Other</t>
        </is>
      </c>
      <c r="K483" s="75" t="inlineStr">
        <is>
          <t>SAAS</t>
        </is>
      </c>
      <c r="L483" s="75" t="n"/>
      <c r="M483" s="75" t="n"/>
      <c r="N483" s="75" t="n"/>
      <c r="O483" s="75" t="n"/>
      <c r="P483" s="75" t="n"/>
      <c r="Q483" s="75" t="inlineStr">
        <is>
          <t>No</t>
        </is>
      </c>
      <c r="R483" s="75" t="n"/>
      <c r="S483" s="75" t="n"/>
      <c r="T483" s="76" t="n"/>
      <c r="U483" s="75" t="n"/>
      <c r="V483" s="76" t="n"/>
      <c r="Y483" s="153" t="inlineStr">
        <is>
          <t>Global Inv - Mar 2026</t>
        </is>
      </c>
      <c r="Z483" s="153" t="inlineStr">
        <is>
          <t>Tax information reporting and regulatory compliance (1099) software</t>
        </is>
      </c>
      <c r="AA483" s="153" t="inlineStr">
        <is>
          <t>Finance</t>
        </is>
      </c>
      <c r="AB483" s="121">
        <f>VLOOKUP(AA483,CategorySummaryTable[],2,FALSE)</f>
        <v/>
      </c>
    </row>
    <row r="484" ht="80" customHeight="1" s="142">
      <c r="B484" s="77" t="inlineStr">
        <is>
          <t>Spectroscopy Configuration Manager (SCM) Software</t>
        </is>
      </c>
      <c r="C484" s="75" t="n"/>
      <c r="D484" s="75" t="inlineStr">
        <is>
          <t>Unknown</t>
        </is>
      </c>
      <c r="E484" s="75" t="inlineStr">
        <is>
          <t>Spectroscopy</t>
        </is>
      </c>
      <c r="F484" s="75" t="n"/>
      <c r="G484" s="75" t="n"/>
      <c r="H484" s="75" t="inlineStr">
        <is>
          <t>Plainsboro 105</t>
        </is>
      </c>
      <c r="I484" s="75" t="inlineStr">
        <is>
          <t>Yes</t>
        </is>
      </c>
      <c r="J484" s="75" t="n"/>
      <c r="K484" s="75" t="n"/>
      <c r="L484" s="75" t="n"/>
      <c r="M484" s="75" t="n"/>
      <c r="N484" s="75" t="n"/>
      <c r="O484" s="75" t="n"/>
      <c r="P484" s="75" t="n"/>
      <c r="Q484" s="75" t="inlineStr">
        <is>
          <t>N</t>
        </is>
      </c>
      <c r="R484" s="75" t="n"/>
      <c r="S484" s="75" t="n"/>
      <c r="T484" s="76" t="n"/>
      <c r="U484" s="75" t="n"/>
      <c r="V484" s="76" t="n"/>
      <c r="Y484" s="153" t="inlineStr">
        <is>
          <t>Global Inv - Mar 2026</t>
        </is>
      </c>
      <c r="Z484" s="153" t="inlineStr">
        <is>
          <t>Spectroscopy software for regulatory compliance and audit logging</t>
        </is>
      </c>
      <c r="AA484" s="153" t="inlineStr">
        <is>
          <t>Clinical Manufacturing Process</t>
        </is>
      </c>
      <c r="AB484" s="121">
        <f>VLOOKUP(AA484,CategorySummaryTable[],2,FALSE)</f>
        <v/>
      </c>
    </row>
    <row r="485" ht="64" customHeight="1" s="142">
      <c r="B485" s="80" t="inlineStr">
        <is>
          <t>Spiceworks</t>
        </is>
      </c>
      <c r="C485" s="75" t="inlineStr">
        <is>
          <t>Software, forums and tools for IT</t>
        </is>
      </c>
      <c r="D485" s="75" t="inlineStr">
        <is>
          <t>Unknown</t>
        </is>
      </c>
      <c r="E485" s="75" t="inlineStr">
        <is>
          <t>Spiceworks</t>
        </is>
      </c>
      <c r="F485" s="75" t="n"/>
      <c r="G485" s="75" t="n"/>
      <c r="H485" s="75" t="n"/>
      <c r="I485" s="75" t="n"/>
      <c r="J485" s="75" t="inlineStr">
        <is>
          <t>Other</t>
        </is>
      </c>
      <c r="K485" s="75" t="n"/>
      <c r="L485" s="75" t="n"/>
      <c r="M485" s="75" t="n"/>
      <c r="N485" s="75" t="n"/>
      <c r="O485" s="75" t="n"/>
      <c r="P485" s="75" t="n"/>
      <c r="Q485" s="75" t="n"/>
      <c r="R485" s="75" t="n"/>
      <c r="S485" s="75" t="n"/>
      <c r="T485" s="76" t="n"/>
      <c r="U485" s="75" t="n"/>
      <c r="V485" s="76" t="n"/>
      <c r="Y485" s="153" t="inlineStr">
        <is>
          <t>Global Inv - Mar 2026</t>
        </is>
      </c>
      <c r="Z485" s="153" t="inlineStr">
        <is>
          <t>IT help desk, inventory and network management software</t>
        </is>
      </c>
      <c r="AA485" s="153" t="inlineStr">
        <is>
          <t>IT Operations</t>
        </is>
      </c>
      <c r="AB485" s="121">
        <f>VLOOKUP(AA485,CategorySummaryTable[],2,FALSE)</f>
        <v/>
      </c>
    </row>
    <row r="486" ht="80" customHeight="1" s="142">
      <c r="B486" s="80" t="inlineStr">
        <is>
          <t>Sprout Social</t>
        </is>
      </c>
      <c r="C486" s="75" t="inlineStr">
        <is>
          <t>Social media management system</t>
        </is>
      </c>
      <c r="D486" s="75" t="inlineStr">
        <is>
          <t>Unknown</t>
        </is>
      </c>
      <c r="E486" s="75" t="inlineStr">
        <is>
          <t>Sprout Social</t>
        </is>
      </c>
      <c r="F486" s="75" t="n"/>
      <c r="G486" s="75" t="n"/>
      <c r="H486" s="75" t="n"/>
      <c r="I486" s="75" t="n"/>
      <c r="J486" s="75" t="inlineStr">
        <is>
          <t>Other</t>
        </is>
      </c>
      <c r="K486" s="75" t="n"/>
      <c r="L486" s="75" t="n"/>
      <c r="M486" s="75" t="n"/>
      <c r="N486" s="75" t="n"/>
      <c r="O486" s="75" t="n"/>
      <c r="P486" s="75" t="n"/>
      <c r="Q486" s="75" t="n"/>
      <c r="R486" s="75" t="n"/>
      <c r="S486" s="75" t="n"/>
      <c r="T486" s="76" t="n"/>
      <c r="U486" s="75" t="n"/>
      <c r="V486" s="76" t="n"/>
      <c r="Y486" s="153" t="inlineStr">
        <is>
          <t>Global Inv - Mar 2026</t>
        </is>
      </c>
      <c r="Z486" s="153" t="inlineStr">
        <is>
          <t>Social media management and marketing software</t>
        </is>
      </c>
      <c r="AA486" s="153" t="inlineStr">
        <is>
          <t>Marketing</t>
        </is>
      </c>
      <c r="AB486" s="121">
        <f>VLOOKUP(AA486,CategorySummaryTable[],2,FALSE)</f>
        <v/>
      </c>
    </row>
    <row r="487" ht="64" customHeight="1" s="142">
      <c r="B487" s="80" t="inlineStr">
        <is>
          <t>SQL Cluster - Test</t>
        </is>
      </c>
      <c r="C487" s="75" t="n"/>
      <c r="D487" s="75" t="inlineStr">
        <is>
          <t>Unknown</t>
        </is>
      </c>
      <c r="E487" s="75" t="n"/>
      <c r="F487" s="75" t="n"/>
      <c r="G487" s="75" t="n"/>
      <c r="H487" s="75" t="inlineStr">
        <is>
          <t>Corporate</t>
        </is>
      </c>
      <c r="I487" s="75" t="inlineStr">
        <is>
          <t>Yes</t>
        </is>
      </c>
      <c r="J487" s="75" t="n"/>
      <c r="K487" s="75" t="n"/>
      <c r="L487" s="75" t="n"/>
      <c r="M487" s="75" t="n"/>
      <c r="N487" s="75" t="n"/>
      <c r="O487" s="75" t="n"/>
      <c r="P487" s="75" t="n"/>
      <c r="Q487" s="75" t="inlineStr">
        <is>
          <t>No</t>
        </is>
      </c>
      <c r="R487" s="75" t="n"/>
      <c r="S487" s="75" t="n"/>
      <c r="T487" s="76" t="n"/>
      <c r="U487" s="75" t="n"/>
      <c r="V487" s="76" t="n"/>
      <c r="Y487" s="153" t="inlineStr">
        <is>
          <t>Global Inv - Mar 2026</t>
        </is>
      </c>
      <c r="Z487" s="153" t="inlineStr">
        <is>
          <t>NA</t>
        </is>
      </c>
      <c r="AA487" s="153" t="inlineStr">
        <is>
          <t>IT Operations</t>
        </is>
      </c>
      <c r="AB487" s="121">
        <f>VLOOKUP(AA487,CategorySummaryTable[],2,FALSE)</f>
        <v/>
      </c>
    </row>
    <row r="488" ht="64" customHeight="1" s="142">
      <c r="B488" s="80" t="inlineStr">
        <is>
          <t>Square 9</t>
        </is>
      </c>
      <c r="C488" s="75" t="inlineStr">
        <is>
          <t>Document management</t>
        </is>
      </c>
      <c r="D488" s="75" t="inlineStr">
        <is>
          <t>Unknown</t>
        </is>
      </c>
      <c r="E488" s="75" t="inlineStr">
        <is>
          <t>Square 9 Softworks</t>
        </is>
      </c>
      <c r="F488" s="75" t="n"/>
      <c r="G488" s="75" t="n"/>
      <c r="H488" s="75" t="n"/>
      <c r="I488" s="75" t="n"/>
      <c r="J488" s="75" t="inlineStr">
        <is>
          <t>Other</t>
        </is>
      </c>
      <c r="K488" s="75" t="n"/>
      <c r="L488" s="75" t="n"/>
      <c r="M488" s="75" t="n"/>
      <c r="N488" s="75" t="n"/>
      <c r="O488" s="75" t="n"/>
      <c r="P488" s="75" t="n"/>
      <c r="Q488" s="75" t="n"/>
      <c r="R488" s="75" t="n"/>
      <c r="S488" s="75" t="n"/>
      <c r="T488" s="76" t="n"/>
      <c r="U488" s="75" t="n"/>
      <c r="V488" s="76" t="n"/>
      <c r="Y488" s="153" t="inlineStr">
        <is>
          <t>Global Inv - Mar 2026</t>
        </is>
      </c>
      <c r="Z488" s="153" t="inlineStr">
        <is>
          <t>Document management and capture software</t>
        </is>
      </c>
      <c r="AA488" s="153" t="inlineStr">
        <is>
          <t>IT Operations</t>
        </is>
      </c>
      <c r="AB488" s="121">
        <f>VLOOKUP(AA488,CategorySummaryTable[],2,FALSE)</f>
        <v/>
      </c>
    </row>
    <row r="489" ht="80" customHeight="1" s="142">
      <c r="B489" s="91" t="inlineStr">
        <is>
          <t>SS/BE Abile</t>
        </is>
      </c>
      <c r="C489" s="75" t="inlineStr">
        <is>
          <t>MFG part editor</t>
        </is>
      </c>
      <c r="D489" s="75" t="inlineStr">
        <is>
          <t>Active</t>
        </is>
      </c>
      <c r="E489" s="75" t="inlineStr">
        <is>
          <t>Tsugami</t>
        </is>
      </c>
      <c r="F489" s="75" t="n"/>
      <c r="G489" s="75" t="n"/>
      <c r="H489" s="75" t="inlineStr">
        <is>
          <t>Cincinnati</t>
        </is>
      </c>
      <c r="I489" s="75" t="n"/>
      <c r="J489" s="75" t="n"/>
      <c r="K489" s="75" t="inlineStr">
        <is>
          <t>Desktop</t>
        </is>
      </c>
      <c r="L489" s="75" t="n"/>
      <c r="M489" s="75" t="n"/>
      <c r="N489" s="75" t="n"/>
      <c r="O489" s="75" t="n"/>
      <c r="P489" s="75" t="n"/>
      <c r="Q489" s="75" t="inlineStr">
        <is>
          <t>N</t>
        </is>
      </c>
      <c r="R489" s="75" t="n"/>
      <c r="S489" s="75" t="inlineStr">
        <is>
          <t>Michael Patterson</t>
        </is>
      </c>
      <c r="T489" s="76" t="n">
        <v>44516</v>
      </c>
      <c r="U489" s="75" t="inlineStr">
        <is>
          <t>Nov 16, 2021 via Michael Patterson</t>
        </is>
      </c>
      <c r="V489" s="76" t="n">
        <v>44516</v>
      </c>
      <c r="Y489" s="153" t="inlineStr">
        <is>
          <t>Global Inv - Mar 2026</t>
        </is>
      </c>
      <c r="Z489" s="153" t="inlineStr">
        <is>
          <t>Programming software for Tsugami Swiss CNC lathes</t>
        </is>
      </c>
      <c r="AA489" s="153" t="inlineStr">
        <is>
          <t>Manufacturing</t>
        </is>
      </c>
      <c r="AB489" s="121">
        <f>VLOOKUP(AA489,CategorySummaryTable[],2,FALSE)</f>
        <v/>
      </c>
    </row>
    <row r="490" ht="64" customHeight="1" s="142">
      <c r="B490" s="80" t="inlineStr">
        <is>
          <t>SSRS</t>
        </is>
      </c>
      <c r="C490" s="75" t="inlineStr">
        <is>
          <t>SQL Server Reporting Services</t>
        </is>
      </c>
      <c r="D490" s="75" t="inlineStr">
        <is>
          <t>Unknown</t>
        </is>
      </c>
      <c r="E490" s="75" t="inlineStr">
        <is>
          <t>Microsoft?</t>
        </is>
      </c>
      <c r="F490" s="75" t="n"/>
      <c r="G490" s="75" t="n"/>
      <c r="H490" s="75" t="n"/>
      <c r="I490" s="75" t="n"/>
      <c r="J490" s="75" t="inlineStr">
        <is>
          <t>Other</t>
        </is>
      </c>
      <c r="K490" s="75" t="n"/>
      <c r="L490" s="75" t="n"/>
      <c r="M490" s="75" t="n"/>
      <c r="N490" s="75" t="n"/>
      <c r="O490" s="75" t="n"/>
      <c r="P490" s="75" t="n"/>
      <c r="Q490" s="75" t="n"/>
      <c r="R490" s="75" t="n"/>
      <c r="S490" s="75" t="n"/>
      <c r="T490" s="76" t="n"/>
      <c r="U490" s="75" t="n"/>
      <c r="V490" s="76" t="n"/>
      <c r="Y490" s="153" t="inlineStr">
        <is>
          <t>Global Inv - Mar 2026</t>
        </is>
      </c>
      <c r="Z490" s="153" t="inlineStr">
        <is>
          <t>SQL Server Reporting Services (reporting/BI platform)</t>
        </is>
      </c>
      <c r="AA490" s="153" t="inlineStr">
        <is>
          <t>IT Operations</t>
        </is>
      </c>
      <c r="AB490" s="121">
        <f>VLOOKUP(AA490,CategorySummaryTable[],2,FALSE)</f>
        <v/>
      </c>
    </row>
    <row r="491" ht="64" customHeight="1" s="142">
      <c r="B491" s="77" t="inlineStr">
        <is>
          <t>St. Aubin Facility Access Control</t>
        </is>
      </c>
      <c r="C491" s="75" t="n"/>
      <c r="D491" s="75" t="inlineStr">
        <is>
          <t>Not Started</t>
        </is>
      </c>
      <c r="E491" s="75" t="inlineStr">
        <is>
          <t>VIGILEC</t>
        </is>
      </c>
      <c r="F491" s="75" t="n"/>
      <c r="G491" s="75" t="n"/>
      <c r="H491" s="75" t="inlineStr">
        <is>
          <t>St. Aubin</t>
        </is>
      </c>
      <c r="I491" s="75" t="n"/>
      <c r="J491" s="75" t="n"/>
      <c r="K491" s="75" t="inlineStr">
        <is>
          <t>Desktop</t>
        </is>
      </c>
      <c r="L491" s="75" t="n"/>
      <c r="M491" s="75" t="n"/>
      <c r="N491" s="75" t="n"/>
      <c r="O491" s="75" t="n"/>
      <c r="P491" s="75" t="n"/>
      <c r="Q491" s="75" t="n"/>
      <c r="R491" s="75" t="n"/>
      <c r="S491" s="75" t="n"/>
      <c r="T491" s="76" t="n"/>
      <c r="U491" s="75" t="n"/>
      <c r="V491" s="76" t="n"/>
      <c r="Y491" s="153" t="inlineStr">
        <is>
          <t>Global Inv - Mar 2026</t>
        </is>
      </c>
      <c r="Z491" s="153" t="inlineStr">
        <is>
          <t>NA</t>
        </is>
      </c>
      <c r="AA491" s="153" t="inlineStr">
        <is>
          <t>IT Operations</t>
        </is>
      </c>
      <c r="AB491" s="121">
        <f>VLOOKUP(AA491,CategorySummaryTable[],2,FALSE)</f>
        <v/>
      </c>
    </row>
    <row r="492" ht="80" customHeight="1" s="142">
      <c r="B492" s="56" t="inlineStr">
        <is>
          <t>STARe</t>
        </is>
      </c>
      <c r="C492" s="75" t="n"/>
      <c r="D492" s="75" t="inlineStr">
        <is>
          <t>Unknown</t>
        </is>
      </c>
      <c r="E492" s="75" t="inlineStr">
        <is>
          <t>Mettler-Toledo</t>
        </is>
      </c>
      <c r="F492" s="75" t="n"/>
      <c r="G492" s="75" t="n"/>
      <c r="H492" s="75" t="inlineStr">
        <is>
          <t>Plainsboro Corp, Plainsboro 105</t>
        </is>
      </c>
      <c r="I492" s="75" t="n"/>
      <c r="J492" s="75" t="n"/>
      <c r="K492" s="75" t="inlineStr">
        <is>
          <t>Local</t>
        </is>
      </c>
      <c r="L492" s="75" t="n"/>
      <c r="M492" s="75" t="n"/>
      <c r="N492" s="75" t="n"/>
      <c r="O492" s="75" t="n"/>
      <c r="P492" s="75" t="n"/>
      <c r="Q492" s="75" t="inlineStr">
        <is>
          <t>Y</t>
        </is>
      </c>
      <c r="R492" s="75" t="n"/>
      <c r="S492" s="75" t="n"/>
      <c r="T492" s="76" t="n"/>
      <c r="U492" s="75" t="n"/>
      <c r="V492" s="76" t="n"/>
      <c r="Y492" s="153" t="inlineStr">
        <is>
          <t>Global Inv - Mar 2026</t>
        </is>
      </c>
      <c r="Z492" s="153" t="inlineStr">
        <is>
          <t>Thermal analysis instrument control and data evaluation software</t>
        </is>
      </c>
      <c r="AA492" s="153" t="inlineStr">
        <is>
          <t>Clinical Manufacturing Process</t>
        </is>
      </c>
      <c r="AB492" s="121">
        <f>VLOOKUP(AA492,CategorySummaryTable[],2,FALSE)</f>
        <v/>
      </c>
    </row>
    <row r="493" ht="80" customHeight="1" s="142">
      <c r="B493" s="80" t="inlineStr">
        <is>
          <t>Startcite</t>
        </is>
      </c>
      <c r="C493" s="75" t="inlineStr">
        <is>
          <t>global meetings management</t>
        </is>
      </c>
      <c r="D493" s="75" t="inlineStr">
        <is>
          <t>Unknown</t>
        </is>
      </c>
      <c r="E493" s="75" t="n"/>
      <c r="F493" s="75" t="n"/>
      <c r="G493" s="75" t="n"/>
      <c r="H493" s="75" t="n"/>
      <c r="I493" s="75" t="n"/>
      <c r="J493" s="75" t="inlineStr">
        <is>
          <t>Other</t>
        </is>
      </c>
      <c r="K493" s="75" t="n"/>
      <c r="L493" s="75" t="n"/>
      <c r="M493" s="75" t="n"/>
      <c r="N493" s="75" t="n"/>
      <c r="O493" s="75" t="n"/>
      <c r="P493" s="75" t="n"/>
      <c r="Q493" s="75" t="n"/>
      <c r="R493" s="75" t="n"/>
      <c r="S493" s="75" t="n"/>
      <c r="T493" s="76" t="n"/>
      <c r="U493" s="75" t="n"/>
      <c r="V493" s="76" t="n"/>
      <c r="Y493" s="153" t="inlineStr">
        <is>
          <t>Global Inv - Mar 2026</t>
        </is>
      </c>
      <c r="Z493" s="153" t="inlineStr">
        <is>
          <t>Strategic/global meetings and events management software</t>
        </is>
      </c>
      <c r="AA493" s="153" t="inlineStr">
        <is>
          <t>Marketing</t>
        </is>
      </c>
      <c r="AB493" s="121">
        <f>VLOOKUP(AA493,CategorySummaryTable[],2,FALSE)</f>
        <v/>
      </c>
    </row>
    <row r="494" ht="80" customHeight="1" s="142">
      <c r="B494" s="77" t="inlineStr">
        <is>
          <t>STATGRAPHIC</t>
        </is>
      </c>
      <c r="C494" s="75" t="n"/>
      <c r="D494" s="75" t="inlineStr">
        <is>
          <t>Not Started</t>
        </is>
      </c>
      <c r="E494" s="75" t="inlineStr">
        <is>
          <t>Statgraphic</t>
        </is>
      </c>
      <c r="F494" s="75" t="n"/>
      <c r="G494" s="75" t="n"/>
      <c r="H494" s="75" t="inlineStr">
        <is>
          <t>BIOT / Lyon</t>
        </is>
      </c>
      <c r="I494" s="75" t="inlineStr">
        <is>
          <t>Yes</t>
        </is>
      </c>
      <c r="J494" s="75" t="n"/>
      <c r="K494" s="75" t="inlineStr">
        <is>
          <t>On Premises (Client/Server)</t>
        </is>
      </c>
      <c r="L494" s="75" t="n"/>
      <c r="M494" s="75" t="n"/>
      <c r="N494" s="75" t="n"/>
      <c r="O494" s="75" t="n"/>
      <c r="P494" s="75" t="n"/>
      <c r="Q494" s="75" t="inlineStr">
        <is>
          <t>N</t>
        </is>
      </c>
      <c r="R494" s="75" t="n"/>
      <c r="S494" s="75" t="n"/>
      <c r="T494" s="76" t="n"/>
      <c r="U494" s="75" t="n"/>
      <c r="V494" s="76" t="n"/>
      <c r="Y494" s="153" t="inlineStr">
        <is>
          <t>Global Inv - Mar 2026</t>
        </is>
      </c>
      <c r="Z494" s="153" t="inlineStr">
        <is>
          <t>Statistical analysis and data visualization software</t>
        </is>
      </c>
      <c r="AA494" s="153" t="inlineStr">
        <is>
          <t>Data and Analytics</t>
        </is>
      </c>
      <c r="AB494" s="121">
        <f>VLOOKUP(AA494,CategorySummaryTable[],2,FALSE)</f>
        <v/>
      </c>
    </row>
    <row r="495" ht="87" customHeight="1" s="142">
      <c r="B495" s="82" t="inlineStr">
        <is>
          <t>SteepRock</t>
        </is>
      </c>
      <c r="C495" s="75" t="inlineStr">
        <is>
          <t>The database is 12GB and the attachments are an additional 6.3GB. The Steeprock Application manages our Investigator study requests, Grant and foundation requests, and HCP Engagement. HCP Engagement includes whenever we have to engage an HCP/KOL, we can make sure the person has a valid Need, Contract, and Service request within Steeprock before we engage them. We also allow our HCPs to submit their work activity reports in the app so we can pay them correctly. No payments are processed in the app, just a way for the HCP to submit for it.</t>
        </is>
      </c>
      <c r="D495" s="75" t="inlineStr">
        <is>
          <t>Decommissioned</t>
        </is>
      </c>
      <c r="E495" s="75" t="n"/>
      <c r="F495" s="75" t="n"/>
      <c r="G495" s="75" t="n"/>
      <c r="H495" s="75" t="n"/>
      <c r="I495" s="75" t="n"/>
      <c r="J495" s="75" t="inlineStr">
        <is>
          <t>Other</t>
        </is>
      </c>
      <c r="K495" s="75" t="inlineStr">
        <is>
          <t>SaaS</t>
        </is>
      </c>
      <c r="L495" s="75" t="n"/>
      <c r="M495" s="75" t="n"/>
      <c r="N495" s="75" t="n"/>
      <c r="O495" s="75" t="n"/>
      <c r="P495" s="75" t="n"/>
      <c r="Q495" s="75" t="inlineStr">
        <is>
          <t>No</t>
        </is>
      </c>
      <c r="R495" s="75" t="n"/>
      <c r="S495" s="75" t="n"/>
      <c r="T495" s="76" t="n"/>
      <c r="U495" s="75" t="n"/>
      <c r="V495" s="76" t="n"/>
      <c r="W495" s="71" t="inlineStr">
        <is>
          <t>Solution removed. Replaced by Porzio to track engagement with HCPs</t>
        </is>
      </c>
      <c r="Y495" s="153" t="inlineStr">
        <is>
          <t>Global Inv - Mar 2026</t>
        </is>
      </c>
      <c r="Z495" s="153" t="inlineStr">
        <is>
          <t>Medical affairs HCP engagement, grants, and investigator study management software</t>
        </is>
      </c>
      <c r="AA495" s="153" t="inlineStr">
        <is>
          <t>Medical Affairs</t>
        </is>
      </c>
      <c r="AB495" s="121">
        <f>VLOOKUP(AA495,CategorySummaryTable[],2,FALSE)</f>
        <v/>
      </c>
    </row>
    <row r="496" ht="80" customHeight="1" s="142">
      <c r="B496" s="80" t="inlineStr">
        <is>
          <t>Strategy Companion</t>
        </is>
      </c>
      <c r="C496" s="75" t="inlineStr">
        <is>
          <t>Data analytics</t>
        </is>
      </c>
      <c r="D496" s="75" t="inlineStr">
        <is>
          <t>Unknown</t>
        </is>
      </c>
      <c r="E496" s="75" t="inlineStr">
        <is>
          <t>Strategy Companion</t>
        </is>
      </c>
      <c r="F496" s="75" t="n"/>
      <c r="G496" s="75" t="n"/>
      <c r="H496" s="75" t="n"/>
      <c r="I496" s="75" t="n"/>
      <c r="J496" s="75" t="inlineStr">
        <is>
          <t>Other</t>
        </is>
      </c>
      <c r="K496" s="75" t="n"/>
      <c r="L496" s="75" t="n"/>
      <c r="M496" s="75" t="n"/>
      <c r="N496" s="75" t="n"/>
      <c r="O496" s="75" t="n"/>
      <c r="P496" s="75" t="n"/>
      <c r="Q496" s="75" t="n"/>
      <c r="R496" s="75" t="n"/>
      <c r="S496" s="75" t="n"/>
      <c r="T496" s="76" t="n"/>
      <c r="U496" s="75" t="n"/>
      <c r="V496" s="76" t="n"/>
      <c r="Y496" s="153" t="inlineStr">
        <is>
          <t>Global Inv - Mar 2026</t>
        </is>
      </c>
      <c r="Z496" s="153" t="inlineStr">
        <is>
          <t>Business intelligence and OLAP analytics software</t>
        </is>
      </c>
      <c r="AA496" s="153" t="inlineStr">
        <is>
          <t>Data and Analytics</t>
        </is>
      </c>
      <c r="AB496" s="121">
        <f>VLOOKUP(AA496,CategorySummaryTable[],2,FALSE)</f>
        <v/>
      </c>
    </row>
    <row r="497" ht="80" customHeight="1" s="142">
      <c r="B497" s="56" t="inlineStr">
        <is>
          <t>STREAM ESSENTIALS</t>
        </is>
      </c>
      <c r="C497" s="75" t="n"/>
      <c r="D497" s="75" t="inlineStr">
        <is>
          <t>Unknown</t>
        </is>
      </c>
      <c r="E497" s="75" t="inlineStr">
        <is>
          <t>Olympus</t>
        </is>
      </c>
      <c r="F497" s="75" t="n"/>
      <c r="G497" s="75" t="n"/>
      <c r="H497" s="75" t="inlineStr">
        <is>
          <t>Plainsboro Corp</t>
        </is>
      </c>
      <c r="I497" s="75" t="n"/>
      <c r="J497" s="75" t="n"/>
      <c r="K497" s="75" t="inlineStr">
        <is>
          <t>Local</t>
        </is>
      </c>
      <c r="L497" s="75" t="n"/>
      <c r="M497" s="75" t="n"/>
      <c r="N497" s="75" t="n"/>
      <c r="O497" s="75" t="n"/>
      <c r="P497" s="75" t="n"/>
      <c r="Q497" s="75" t="inlineStr">
        <is>
          <t>Y</t>
        </is>
      </c>
      <c r="R497" s="75" t="n"/>
      <c r="S497" s="75" t="n"/>
      <c r="T497" s="76" t="n"/>
      <c r="U497" s="75" t="n"/>
      <c r="V497" s="76" t="n"/>
      <c r="Y497" s="153" t="inlineStr">
        <is>
          <t>Global Inv - Mar 2026</t>
        </is>
      </c>
      <c r="Z497" s="153" t="inlineStr">
        <is>
          <t>Microscope/materials imaging and image analysis software</t>
        </is>
      </c>
      <c r="AA497" s="153" t="inlineStr">
        <is>
          <t>Clinical Manufacturing Process</t>
        </is>
      </c>
      <c r="AB497" s="121">
        <f>VLOOKUP(AA497,CategorySummaryTable[],2,FALSE)</f>
        <v/>
      </c>
    </row>
    <row r="498" ht="64" customHeight="1" s="142">
      <c r="B498" s="57" t="inlineStr">
        <is>
          <t>Subversion</t>
        </is>
      </c>
      <c r="C498" s="75" t="inlineStr">
        <is>
          <t>Open source version control system</t>
        </is>
      </c>
      <c r="D498" s="75" t="inlineStr">
        <is>
          <t>Active</t>
        </is>
      </c>
      <c r="E498" s="75" t="inlineStr">
        <is>
          <t>CentOS SlikSVN + Apache Software Foundation</t>
        </is>
      </c>
      <c r="F498" s="75" t="n"/>
      <c r="G498" s="75" t="n"/>
      <c r="H498" s="75" t="inlineStr">
        <is>
          <t>Billerica</t>
        </is>
      </c>
      <c r="I498" s="75" t="inlineStr">
        <is>
          <t>Yes</t>
        </is>
      </c>
      <c r="J498" s="75" t="n"/>
      <c r="K498" s="75" t="inlineStr">
        <is>
          <t>On Premises (Client/Server)</t>
        </is>
      </c>
      <c r="L498" s="75" t="n"/>
      <c r="M498" s="75" t="n"/>
      <c r="N498" s="75" t="n"/>
      <c r="O498" s="75" t="n"/>
      <c r="P498" s="75" t="n"/>
      <c r="Q498" s="75" t="inlineStr">
        <is>
          <t>No</t>
        </is>
      </c>
      <c r="R498" s="75" t="n"/>
      <c r="S498" s="75" t="inlineStr">
        <is>
          <t>Gary Beckmann</t>
        </is>
      </c>
      <c r="T498" s="76" t="n">
        <v>44581</v>
      </c>
      <c r="U498" s="75" t="inlineStr">
        <is>
          <t>Jan 20, 2022 via Gary Beckmann</t>
        </is>
      </c>
      <c r="V498" s="76" t="n">
        <v>44581</v>
      </c>
      <c r="Y498" s="153" t="inlineStr">
        <is>
          <t>Global Inv - Mar 2026</t>
        </is>
      </c>
      <c r="Z498" s="153" t="inlineStr">
        <is>
          <t>Open-source version control (Subversion) software</t>
        </is>
      </c>
      <c r="AA498" s="153" t="inlineStr">
        <is>
          <t>IT Operations</t>
        </is>
      </c>
      <c r="AB498" s="121">
        <f>VLOOKUP(AA498,CategorySummaryTable[],2,FALSE)</f>
        <v/>
      </c>
    </row>
    <row r="499" ht="64" customHeight="1" s="142">
      <c r="B499" s="82" t="inlineStr">
        <is>
          <t>SugarSync</t>
        </is>
      </c>
      <c r="C499" s="75" t="inlineStr">
        <is>
          <t>Not in LanSweeper (decommisioned??)</t>
        </is>
      </c>
      <c r="D499" s="75" t="inlineStr">
        <is>
          <t>Survey Complete with Improvement Opps</t>
        </is>
      </c>
      <c r="E499" s="75" t="inlineStr">
        <is>
          <t>SugarSync</t>
        </is>
      </c>
      <c r="F499" s="75" t="n"/>
      <c r="G499" s="75" t="n"/>
      <c r="H499" s="75" t="inlineStr">
        <is>
          <t>Multi-Site</t>
        </is>
      </c>
      <c r="I499" s="75" t="n"/>
      <c r="J499" s="75" t="inlineStr">
        <is>
          <t>Other</t>
        </is>
      </c>
      <c r="K499" s="75" t="inlineStr">
        <is>
          <t>SaaS</t>
        </is>
      </c>
      <c r="L499" s="75" t="n"/>
      <c r="M499" s="75" t="n"/>
      <c r="N499" s="75" t="n"/>
      <c r="O499" s="75" t="n"/>
      <c r="P499" s="75" t="n"/>
      <c r="Q499" s="75" t="inlineStr">
        <is>
          <t>No</t>
        </is>
      </c>
      <c r="R499" s="75" t="n"/>
      <c r="S499" s="75" t="n"/>
      <c r="T499" s="76" t="n"/>
      <c r="U499" s="75" t="n"/>
      <c r="V499" s="76" t="n"/>
      <c r="Y499" s="153" t="inlineStr">
        <is>
          <t>Global Inv - Mar 2026</t>
        </is>
      </c>
      <c r="Z499" s="153" t="inlineStr">
        <is>
          <t>Cloud file sync, sharing, and backup service</t>
        </is>
      </c>
      <c r="AA499" s="153" t="inlineStr">
        <is>
          <t>IT Operations</t>
        </is>
      </c>
      <c r="AB499" s="121">
        <f>VLOOKUP(AA499,CategorySummaryTable[],2,FALSE)</f>
        <v/>
      </c>
    </row>
    <row r="500" ht="80" customHeight="1" s="142">
      <c r="B500" s="56" t="inlineStr">
        <is>
          <t>SureThing CD Labeler</t>
        </is>
      </c>
      <c r="C500" s="75" t="inlineStr">
        <is>
          <t>Marked for deletetion</t>
        </is>
      </c>
      <c r="D500" s="75" t="inlineStr">
        <is>
          <t>Unknown</t>
        </is>
      </c>
      <c r="E500" s="75" t="inlineStr">
        <is>
          <t>Microvision Development</t>
        </is>
      </c>
      <c r="F500" s="75" t="n"/>
      <c r="G500" s="75" t="n"/>
      <c r="H500" s="75" t="inlineStr">
        <is>
          <t>Cincinnati</t>
        </is>
      </c>
      <c r="I500" s="75" t="n"/>
      <c r="J500" s="75" t="n"/>
      <c r="K500" s="75" t="inlineStr">
        <is>
          <t>Desktop</t>
        </is>
      </c>
      <c r="L500" s="75" t="n"/>
      <c r="M500" s="75" t="n"/>
      <c r="N500" s="75" t="n"/>
      <c r="O500" s="75" t="n"/>
      <c r="P500" s="75" t="n"/>
      <c r="Q500" s="75" t="inlineStr">
        <is>
          <t>N</t>
        </is>
      </c>
      <c r="R500" s="75" t="n"/>
      <c r="S500" s="75" t="n"/>
      <c r="T500" s="76" t="n"/>
      <c r="U500" s="75" t="n"/>
      <c r="V500" s="76" t="n"/>
      <c r="Y500" s="153" t="inlineStr">
        <is>
          <t>Global Inv - Mar 2026</t>
        </is>
      </c>
      <c r="Z500" s="153" t="inlineStr">
        <is>
          <t>CD/DVD disc label design and printing software</t>
        </is>
      </c>
      <c r="AA500" s="153" t="inlineStr">
        <is>
          <t>Manufacturing</t>
        </is>
      </c>
      <c r="AB500" s="121">
        <f>VLOOKUP(AA500,CategorySummaryTable[],2,FALSE)</f>
        <v/>
      </c>
    </row>
    <row r="501" ht="80" customHeight="1" s="142">
      <c r="B501" s="90" t="inlineStr">
        <is>
          <t>SurfCAM</t>
        </is>
      </c>
      <c r="C501" s="75" t="inlineStr">
        <is>
          <t>CAD- Product designs and drawings.</t>
        </is>
      </c>
      <c r="D501" s="75" t="inlineStr">
        <is>
          <t>Unknown</t>
        </is>
      </c>
      <c r="E501" s="75" t="inlineStr">
        <is>
          <t>SurfWare</t>
        </is>
      </c>
      <c r="F501" s="75" t="n"/>
      <c r="G501" s="75" t="n"/>
      <c r="H501" s="75" t="inlineStr">
        <is>
          <t>Cincinnati</t>
        </is>
      </c>
      <c r="I501" s="75" t="inlineStr">
        <is>
          <t>Yes</t>
        </is>
      </c>
      <c r="J501" s="75" t="n"/>
      <c r="K501" s="75" t="inlineStr">
        <is>
          <t>Desktop</t>
        </is>
      </c>
      <c r="L501" s="75" t="n"/>
      <c r="M501" s="75" t="n"/>
      <c r="N501" s="75" t="n"/>
      <c r="O501" s="75" t="n"/>
      <c r="P501" s="75" t="n"/>
      <c r="Q501" s="75" t="inlineStr">
        <is>
          <t>N</t>
        </is>
      </c>
      <c r="R501" s="75" t="n"/>
      <c r="S501" s="75" t="inlineStr">
        <is>
          <t>Michael Patterson</t>
        </is>
      </c>
      <c r="T501" s="76" t="n">
        <v>44516</v>
      </c>
      <c r="U501" s="75" t="inlineStr">
        <is>
          <t>Nov 16, 2021 via Michael Patterson- check Status</t>
        </is>
      </c>
      <c r="V501" s="76" t="n">
        <v>44516</v>
      </c>
      <c r="Y501" s="153" t="inlineStr">
        <is>
          <t>Global Inv - Mar 2026</t>
        </is>
      </c>
      <c r="Z501" s="153" t="inlineStr">
        <is>
          <t>CAD/CAM software for CNC machining toolpaths</t>
        </is>
      </c>
      <c r="AA501" s="153" t="inlineStr">
        <is>
          <t>Manufacturing</t>
        </is>
      </c>
      <c r="AB501" s="121">
        <f>VLOOKUP(AA501,CategorySummaryTable[],2,FALSE)</f>
        <v/>
      </c>
    </row>
    <row r="502" ht="80" customHeight="1" s="142">
      <c r="B502" s="77" t="inlineStr">
        <is>
          <t>Surgisoft FTP</t>
        </is>
      </c>
      <c r="C502" s="75" t="inlineStr">
        <is>
          <t>Marked for deletetion</t>
        </is>
      </c>
      <c r="D502" s="75" t="inlineStr">
        <is>
          <t>Unknown</t>
        </is>
      </c>
      <c r="E502" s="75" t="inlineStr">
        <is>
          <t>Integra_ISDevelopedScript</t>
        </is>
      </c>
      <c r="F502" s="75" t="n"/>
      <c r="G502" s="75" t="n"/>
      <c r="H502" s="75" t="inlineStr">
        <is>
          <t>Multi-Site</t>
        </is>
      </c>
      <c r="I502" s="75" t="inlineStr">
        <is>
          <t>Yes</t>
        </is>
      </c>
      <c r="J502" s="75" t="n"/>
      <c r="K502" s="75" t="inlineStr">
        <is>
          <t>On Premises (Client/Server)</t>
        </is>
      </c>
      <c r="L502" s="75" t="n"/>
      <c r="M502" s="75" t="n"/>
      <c r="N502" s="75" t="n"/>
      <c r="O502" s="75" t="n"/>
      <c r="P502" s="75" t="n"/>
      <c r="Q502" s="75" t="inlineStr">
        <is>
          <t>Yes</t>
        </is>
      </c>
      <c r="R502" s="75" t="n">
        <v>4</v>
      </c>
      <c r="S502" s="75" t="n"/>
      <c r="T502" s="76" t="n"/>
      <c r="U502" s="75" t="n"/>
      <c r="V502" s="76" t="n"/>
      <c r="Y502" s="153" t="inlineStr">
        <is>
          <t>Global Inv - Mar 2026</t>
        </is>
      </c>
      <c r="Z502" s="153" t="inlineStr">
        <is>
          <t>NA</t>
        </is>
      </c>
      <c r="AA502" s="153" t="inlineStr">
        <is>
          <t>Finance</t>
        </is>
      </c>
      <c r="AB502" s="121">
        <f>VLOOKUP(AA502,CategorySummaryTable[],2,FALSE)</f>
        <v/>
      </c>
    </row>
    <row r="503" ht="64" customHeight="1" s="142">
      <c r="B503" s="77" t="inlineStr">
        <is>
          <t>Surveilix Central Station (Toshiba)</t>
        </is>
      </c>
      <c r="C503" s="75" t="n"/>
      <c r="D503" s="75" t="inlineStr">
        <is>
          <t>Unknown</t>
        </is>
      </c>
      <c r="E503" s="75" t="inlineStr">
        <is>
          <t>Surveilix</t>
        </is>
      </c>
      <c r="F503" s="75" t="n"/>
      <c r="G503" s="75" t="n"/>
      <c r="H503" s="75" t="inlineStr">
        <is>
          <t>Puerto Rico</t>
        </is>
      </c>
      <c r="I503" s="75" t="n"/>
      <c r="J503" s="75" t="n"/>
      <c r="K503" s="75" t="inlineStr">
        <is>
          <t>Desktop</t>
        </is>
      </c>
      <c r="L503" s="75" t="n"/>
      <c r="M503" s="75" t="n"/>
      <c r="N503" s="75" t="n"/>
      <c r="O503" s="75" t="n"/>
      <c r="P503" s="75" t="n"/>
      <c r="Q503" s="75" t="inlineStr">
        <is>
          <t>N</t>
        </is>
      </c>
      <c r="R503" s="75" t="n"/>
      <c r="S503" s="75" t="n"/>
      <c r="T503" s="76" t="n"/>
      <c r="U503" s="75" t="n"/>
      <c r="V503" s="76" t="n"/>
      <c r="Y503" s="153" t="inlineStr">
        <is>
          <t>Global Inv - Mar 2026</t>
        </is>
      </c>
      <c r="Z503" s="153" t="inlineStr">
        <is>
          <t>Video surveillance management software for DVR/NVR systems</t>
        </is>
      </c>
      <c r="AA503" s="153" t="inlineStr">
        <is>
          <t>IT Operations</t>
        </is>
      </c>
      <c r="AB503" s="121">
        <f>VLOOKUP(AA503,CategorySummaryTable[],2,FALSE)</f>
        <v/>
      </c>
    </row>
    <row r="504" ht="80" customHeight="1" s="142">
      <c r="B504" s="80" t="inlineStr">
        <is>
          <t>Survey Monkey</t>
        </is>
      </c>
      <c r="C504" s="75" t="inlineStr">
        <is>
          <t>Survey development</t>
        </is>
      </c>
      <c r="D504" s="75" t="inlineStr">
        <is>
          <t>Unknown</t>
        </is>
      </c>
      <c r="E504" s="75" t="inlineStr">
        <is>
          <t>Survey Monkey</t>
        </is>
      </c>
      <c r="F504" s="75" t="n"/>
      <c r="G504" s="75" t="n"/>
      <c r="H504" s="75" t="n"/>
      <c r="I504" s="75" t="n"/>
      <c r="J504" s="75" t="n"/>
      <c r="K504" s="75" t="n"/>
      <c r="L504" s="75" t="n"/>
      <c r="M504" s="75" t="n"/>
      <c r="N504" s="75" t="n"/>
      <c r="O504" s="75" t="n"/>
      <c r="P504" s="75" t="n"/>
      <c r="Q504" s="75" t="n"/>
      <c r="R504" s="75" t="n"/>
      <c r="S504" s="75" t="n"/>
      <c r="T504" s="76" t="n"/>
      <c r="U504" s="75" t="n"/>
      <c r="V504" s="76" t="n"/>
      <c r="Y504" s="153" t="inlineStr">
        <is>
          <t>Global Inv - Mar 2026</t>
        </is>
      </c>
      <c r="Z504" s="153" t="inlineStr">
        <is>
          <t>Online survey creation and analysis software</t>
        </is>
      </c>
      <c r="AA504" s="153" t="inlineStr">
        <is>
          <t>Marketing</t>
        </is>
      </c>
      <c r="AB504" s="121">
        <f>VLOOKUP(AA504,CategorySummaryTable[],2,FALSE)</f>
        <v/>
      </c>
    </row>
    <row r="505" ht="64" customHeight="1" s="142">
      <c r="B505" s="80" t="inlineStr">
        <is>
          <t>SVN</t>
        </is>
      </c>
      <c r="C505" s="75" t="inlineStr">
        <is>
          <t>software versioning and revision control system, used to maintain current and historical versions of files such as source code, web pages, and documentation</t>
        </is>
      </c>
      <c r="D505" s="75" t="inlineStr">
        <is>
          <t>Active</t>
        </is>
      </c>
      <c r="E505" s="75" t="inlineStr">
        <is>
          <t>Apache Subversion</t>
        </is>
      </c>
      <c r="F505" s="75" t="n"/>
      <c r="G505" s="75" t="n"/>
      <c r="H505" s="75" t="n"/>
      <c r="I505" s="75" t="n"/>
      <c r="J505" s="75" t="inlineStr">
        <is>
          <t>Other</t>
        </is>
      </c>
      <c r="K505" s="75" t="n"/>
      <c r="L505" s="75" t="n"/>
      <c r="M505" s="75" t="n"/>
      <c r="N505" s="75" t="n"/>
      <c r="O505" s="75" t="n"/>
      <c r="P505" s="75" t="n"/>
      <c r="Q505" s="75" t="n"/>
      <c r="R505" s="75" t="n"/>
      <c r="S505" s="75" t="n"/>
      <c r="T505" s="76" t="n"/>
      <c r="U505" s="75" t="n"/>
      <c r="V505" s="76" t="n"/>
      <c r="Y505" s="153" t="inlineStr">
        <is>
          <t>Global Inv - Mar 2026</t>
        </is>
      </c>
      <c r="Z505" s="153" t="inlineStr">
        <is>
          <t>Open-source version control (Subversion) software</t>
        </is>
      </c>
      <c r="AA505" s="153" t="inlineStr">
        <is>
          <t>IT Operations</t>
        </is>
      </c>
      <c r="AB505" s="121">
        <f>VLOOKUP(AA505,CategorySummaryTable[],2,FALSE)</f>
        <v/>
      </c>
    </row>
    <row r="506" ht="64" customHeight="1" s="142">
      <c r="B506" s="80" t="inlineStr">
        <is>
          <t>SVN for EDW</t>
        </is>
      </c>
      <c r="C506" s="75" t="inlineStr">
        <is>
          <t>US311SVN002</t>
        </is>
      </c>
      <c r="D506" s="75" t="inlineStr">
        <is>
          <t>Unknown</t>
        </is>
      </c>
      <c r="E506" s="75" t="n"/>
      <c r="F506" s="75" t="n"/>
      <c r="G506" s="75" t="n"/>
      <c r="H506" s="75" t="inlineStr">
        <is>
          <t>Corporate</t>
        </is>
      </c>
      <c r="I506" s="75" t="inlineStr">
        <is>
          <t>Yes</t>
        </is>
      </c>
      <c r="J506" s="75" t="n"/>
      <c r="K506" s="75" t="n"/>
      <c r="L506" s="75" t="n"/>
      <c r="M506" s="75" t="n"/>
      <c r="N506" s="75" t="n"/>
      <c r="O506" s="75" t="n"/>
      <c r="P506" s="75" t="n"/>
      <c r="Q506" s="75" t="inlineStr">
        <is>
          <t>No</t>
        </is>
      </c>
      <c r="R506" s="75" t="n"/>
      <c r="S506" s="75" t="n"/>
      <c r="T506" s="76" t="n"/>
      <c r="U506" s="75" t="n"/>
      <c r="V506" s="76" t="n"/>
      <c r="Y506" s="153" t="inlineStr">
        <is>
          <t>Global Inv - Mar 2026</t>
        </is>
      </c>
      <c r="Z506" s="153" t="inlineStr">
        <is>
          <t>Subversion version control repository</t>
        </is>
      </c>
      <c r="AA506" s="153" t="inlineStr">
        <is>
          <t>IT Operations</t>
        </is>
      </c>
      <c r="AB506" s="121">
        <f>VLOOKUP(AA506,CategorySummaryTable[],2,FALSE)</f>
        <v/>
      </c>
    </row>
    <row r="507" ht="64" customHeight="1" s="142">
      <c r="B507" s="90" t="inlineStr">
        <is>
          <t>SwissCAM</t>
        </is>
      </c>
      <c r="C507" s="75" t="inlineStr">
        <is>
          <t>CAD- Product designs and drawings.</t>
        </is>
      </c>
      <c r="D507" s="75" t="inlineStr">
        <is>
          <t>Unknown</t>
        </is>
      </c>
      <c r="E507" s="75" t="inlineStr">
        <is>
          <t>Delcam</t>
        </is>
      </c>
      <c r="F507" s="75" t="n"/>
      <c r="G507" s="75" t="n"/>
      <c r="H507" s="75" t="inlineStr">
        <is>
          <t>Cincinnati</t>
        </is>
      </c>
      <c r="I507" s="75" t="inlineStr">
        <is>
          <t>Yes</t>
        </is>
      </c>
      <c r="J507" s="75" t="n"/>
      <c r="K507" s="75" t="inlineStr">
        <is>
          <t>Desktop</t>
        </is>
      </c>
      <c r="L507" s="75" t="n"/>
      <c r="M507" s="75" t="n"/>
      <c r="N507" s="75" t="n"/>
      <c r="O507" s="75" t="n"/>
      <c r="P507" s="75" t="n"/>
      <c r="Q507" s="75" t="inlineStr">
        <is>
          <t>N</t>
        </is>
      </c>
      <c r="R507" s="75" t="n"/>
      <c r="S507" s="75" t="inlineStr">
        <is>
          <t>Michael Patterson</t>
        </is>
      </c>
      <c r="T507" s="76" t="n">
        <v>44212</v>
      </c>
      <c r="U507" s="75" t="inlineStr">
        <is>
          <t>Nov 16, 2021 via Michael Patterson- check Status</t>
        </is>
      </c>
      <c r="V507" s="76" t="n">
        <v>44212</v>
      </c>
      <c r="Y507" s="153" t="inlineStr">
        <is>
          <t>Global Inv - Mar 2026</t>
        </is>
      </c>
      <c r="Z507" s="153" t="inlineStr">
        <is>
          <t>CAD/CAM machining software</t>
        </is>
      </c>
      <c r="AA507" s="153" t="inlineStr">
        <is>
          <t>Engineering</t>
        </is>
      </c>
      <c r="AB507" s="121">
        <f>VLOOKUP(AA507,CategorySummaryTable[],2,FALSE)</f>
        <v/>
      </c>
    </row>
    <row r="508" ht="64" customHeight="1" s="142">
      <c r="B508" s="80" t="inlineStr">
        <is>
          <t>Symantec Backup Exec</t>
        </is>
      </c>
      <c r="C508" s="75" t="inlineStr">
        <is>
          <t>Data protection/ backup</t>
        </is>
      </c>
      <c r="D508" s="75" t="inlineStr">
        <is>
          <t>Is this in use? Switched to CommVault?</t>
        </is>
      </c>
      <c r="E508" s="75" t="inlineStr">
        <is>
          <t>Symantec</t>
        </is>
      </c>
      <c r="F508" s="75" t="n"/>
      <c r="G508" s="75" t="n"/>
      <c r="H508" s="75" t="n"/>
      <c r="I508" s="75" t="n"/>
      <c r="J508" s="75" t="n"/>
      <c r="K508" s="75" t="n"/>
      <c r="L508" s="75" t="n"/>
      <c r="M508" s="75" t="n"/>
      <c r="N508" s="75" t="n"/>
      <c r="O508" s="75" t="n"/>
      <c r="P508" s="75" t="n"/>
      <c r="Q508" s="75" t="inlineStr">
        <is>
          <t>No</t>
        </is>
      </c>
      <c r="R508" s="75" t="n"/>
      <c r="S508" s="75" t="n"/>
      <c r="T508" s="76" t="n"/>
      <c r="U508" s="75" t="n"/>
      <c r="V508" s="76" t="n"/>
      <c r="Y508" s="153" t="inlineStr">
        <is>
          <t>Global Inv - Mar 2026</t>
        </is>
      </c>
      <c r="Z508" s="153" t="inlineStr">
        <is>
          <t>Data backup and recovery software</t>
        </is>
      </c>
      <c r="AA508" s="153" t="inlineStr">
        <is>
          <t>IT Operations</t>
        </is>
      </c>
      <c r="AB508" s="121">
        <f>VLOOKUP(AA508,CategorySummaryTable[],2,FALSE)</f>
        <v/>
      </c>
    </row>
    <row r="509" ht="64" customHeight="1" s="142">
      <c r="B509" s="80" t="inlineStr">
        <is>
          <t>System Mechanic</t>
        </is>
      </c>
      <c r="C509" s="75" t="inlineStr">
        <is>
          <t>PC optimizer</t>
        </is>
      </c>
      <c r="D509" s="75" t="inlineStr">
        <is>
          <t>Unknown</t>
        </is>
      </c>
      <c r="E509" s="75" t="inlineStr">
        <is>
          <t>iolo</t>
        </is>
      </c>
      <c r="F509" s="75" t="n"/>
      <c r="G509" s="75" t="n"/>
      <c r="H509" s="75" t="n"/>
      <c r="I509" s="75" t="n"/>
      <c r="J509" s="75" t="inlineStr">
        <is>
          <t>Other</t>
        </is>
      </c>
      <c r="K509" s="75" t="n"/>
      <c r="L509" s="75" t="n"/>
      <c r="M509" s="75" t="n"/>
      <c r="N509" s="75" t="n"/>
      <c r="O509" s="75" t="n"/>
      <c r="P509" s="75" t="n"/>
      <c r="Q509" s="75" t="n"/>
      <c r="R509" s="75" t="n"/>
      <c r="S509" s="75" t="n"/>
      <c r="T509" s="76" t="n"/>
      <c r="U509" s="75" t="n"/>
      <c r="V509" s="76" t="n"/>
      <c r="Y509" s="153" t="inlineStr">
        <is>
          <t>Global Inv - Mar 2026</t>
        </is>
      </c>
      <c r="Z509" s="153" t="inlineStr">
        <is>
          <t>PC tune-up and optimization software</t>
        </is>
      </c>
      <c r="AA509" s="153" t="inlineStr">
        <is>
          <t>IT Operations</t>
        </is>
      </c>
      <c r="AB509" s="121">
        <f>VLOOKUP(AA509,CategorySummaryTable[],2,FALSE)</f>
        <v/>
      </c>
    </row>
    <row r="510" ht="80" customHeight="1" s="142">
      <c r="B510" s="83" t="inlineStr">
        <is>
          <t>TA Instrument explorer</t>
        </is>
      </c>
      <c r="C510" s="75" t="n"/>
      <c r="D510" s="75" t="inlineStr">
        <is>
          <t>Unknown</t>
        </is>
      </c>
      <c r="E510" s="75" t="inlineStr">
        <is>
          <t>TA instruments</t>
        </is>
      </c>
      <c r="F510" s="75" t="n"/>
      <c r="G510" s="75" t="n"/>
      <c r="H510" s="75" t="inlineStr">
        <is>
          <t>Plainsboro</t>
        </is>
      </c>
      <c r="I510" s="75" t="n"/>
      <c r="J510" s="75" t="n"/>
      <c r="K510" s="75" t="n"/>
      <c r="L510" s="75" t="n"/>
      <c r="M510" s="75" t="n"/>
      <c r="N510" s="75" t="n"/>
      <c r="O510" s="75" t="n"/>
      <c r="P510" s="75" t="n"/>
      <c r="Q510" s="75" t="inlineStr">
        <is>
          <t>Y</t>
        </is>
      </c>
      <c r="R510" s="75" t="n"/>
      <c r="S510" s="75" t="n"/>
      <c r="T510" s="76" t="n"/>
      <c r="U510" s="75" t="n"/>
      <c r="V510" s="76" t="n"/>
      <c r="Y510" s="153" t="inlineStr">
        <is>
          <t>Global Inv - Mar 2026</t>
        </is>
      </c>
      <c r="Z510" s="153" t="inlineStr">
        <is>
          <t>Thermal analysis instrument control and data software</t>
        </is>
      </c>
      <c r="AA510" s="153" t="inlineStr">
        <is>
          <t>Clinical Manufacturing Process</t>
        </is>
      </c>
      <c r="AB510" s="121">
        <f>VLOOKUP(AA510,CategorySummaryTable[],2,FALSE)</f>
        <v/>
      </c>
    </row>
    <row r="511" ht="64" customHeight="1" s="142">
      <c r="B511" s="92" t="inlineStr">
        <is>
          <t>TAP</t>
        </is>
      </c>
      <c r="C511" s="75" t="inlineStr">
        <is>
          <t>https://www.softwright.com/products/tap-software</t>
        </is>
      </c>
      <c r="D511" s="75" t="inlineStr">
        <is>
          <t>Unknown</t>
        </is>
      </c>
      <c r="E511" s="75" t="inlineStr">
        <is>
          <t>Softwright</t>
        </is>
      </c>
      <c r="F511" s="75" t="n"/>
      <c r="G511" s="75" t="n"/>
      <c r="H511" s="75" t="n"/>
      <c r="I511" s="75" t="n"/>
      <c r="J511" s="75" t="inlineStr">
        <is>
          <t>Other</t>
        </is>
      </c>
      <c r="K511" s="75" t="n"/>
      <c r="L511" s="75" t="n"/>
      <c r="M511" s="75" t="n"/>
      <c r="N511" s="75" t="n"/>
      <c r="O511" s="75" t="n"/>
      <c r="P511" s="75" t="n"/>
      <c r="Q511" s="75" t="n"/>
      <c r="R511" s="75" t="n"/>
      <c r="S511" s="75" t="n"/>
      <c r="T511" s="76" t="n"/>
      <c r="U511" s="75" t="n"/>
      <c r="V511" s="76" t="n"/>
      <c r="Y511" s="153" t="inlineStr">
        <is>
          <t>Global Inv - Mar 2026</t>
        </is>
      </c>
      <c r="Z511" s="153" t="inlineStr">
        <is>
          <t>RF coverage and propagation modeling/engineering software</t>
        </is>
      </c>
      <c r="AA511" s="153" t="inlineStr">
        <is>
          <t>Engineering</t>
        </is>
      </c>
      <c r="AB511" s="121">
        <f>VLOOKUP(AA511,CategorySummaryTable[],2,FALSE)</f>
        <v/>
      </c>
    </row>
    <row r="512" ht="64" customHeight="1" s="142">
      <c r="B512" s="100" t="inlineStr">
        <is>
          <t>TeamCenter</t>
        </is>
      </c>
      <c r="C512" s="75" t="inlineStr">
        <is>
          <t>Maintains CAD files for Mansfield site. Editable copies of CAD data exist only in this tool. Able to tolerate longer downtime off hours.</t>
        </is>
      </c>
      <c r="D512" s="75" t="inlineStr">
        <is>
          <t>Active</t>
        </is>
      </c>
      <c r="E512" s="75" t="inlineStr">
        <is>
          <t>Siemens</t>
        </is>
      </c>
      <c r="F512" s="75" t="n"/>
      <c r="G512" s="75" t="n"/>
      <c r="H512" s="75" t="inlineStr">
        <is>
          <t>Americas - Mansfield</t>
        </is>
      </c>
      <c r="I512" s="75" t="inlineStr">
        <is>
          <t>Yes</t>
        </is>
      </c>
      <c r="J512" s="75" t="n"/>
      <c r="K512" s="75" t="inlineStr">
        <is>
          <t>On Premises (Client/Server)</t>
        </is>
      </c>
      <c r="L512" s="75" t="n"/>
      <c r="M512" s="75" t="inlineStr">
        <is>
          <t>Yes</t>
        </is>
      </c>
      <c r="N512" s="75" t="n"/>
      <c r="O512" s="75" t="n"/>
      <c r="P512" s="75" t="inlineStr">
        <is>
          <t>T4</t>
        </is>
      </c>
      <c r="Q512" s="75" t="inlineStr">
        <is>
          <t>Yes</t>
        </is>
      </c>
      <c r="R512" s="75" t="n">
        <v>4</v>
      </c>
      <c r="S512" s="75" t="inlineStr">
        <is>
          <t>John O'Callaghan</t>
        </is>
      </c>
      <c r="T512" s="76" t="n">
        <v>44658</v>
      </c>
      <c r="U512" s="75" t="inlineStr">
        <is>
          <t>April 7, 2022 via John O'Callaghan</t>
        </is>
      </c>
      <c r="V512" s="76" t="n">
        <v>44658</v>
      </c>
      <c r="Y512" s="153" t="inlineStr">
        <is>
          <t>Global Inv - Mar 2026</t>
        </is>
      </c>
      <c r="Z512" s="153" t="inlineStr">
        <is>
          <t>Product lifecycle management (PLM) and CAD data management software</t>
        </is>
      </c>
      <c r="AA512" s="153" t="inlineStr">
        <is>
          <t>Engineering</t>
        </is>
      </c>
      <c r="AB512" s="121">
        <f>VLOOKUP(AA512,CategorySummaryTable[],2,FALSE)</f>
        <v/>
      </c>
    </row>
    <row r="513" ht="80" customHeight="1" s="142">
      <c r="B513" s="77" t="inlineStr">
        <is>
          <t>Technical Communications Suite</t>
        </is>
      </c>
      <c r="C513" s="75" t="n"/>
      <c r="D513" s="75" t="inlineStr">
        <is>
          <t>Unknown</t>
        </is>
      </c>
      <c r="E513" s="75" t="inlineStr">
        <is>
          <t>Adobe</t>
        </is>
      </c>
      <c r="F513" s="75" t="n"/>
      <c r="G513" s="75" t="n"/>
      <c r="H513" s="75" t="inlineStr">
        <is>
          <t>Billerica</t>
        </is>
      </c>
      <c r="I513" s="75" t="n"/>
      <c r="J513" s="75" t="n"/>
      <c r="K513" s="75" t="inlineStr">
        <is>
          <t>Desktop</t>
        </is>
      </c>
      <c r="L513" s="75" t="n"/>
      <c r="M513" s="75" t="n"/>
      <c r="N513" s="75" t="n"/>
      <c r="O513" s="75" t="n"/>
      <c r="P513" s="75" t="n"/>
      <c r="Q513" s="75" t="inlineStr">
        <is>
          <t>N</t>
        </is>
      </c>
      <c r="R513" s="75" t="n"/>
      <c r="S513" s="75" t="n"/>
      <c r="T513" s="76" t="n"/>
      <c r="U513" s="75" t="n"/>
      <c r="V513" s="76" t="n"/>
      <c r="Y513" s="153" t="inlineStr">
        <is>
          <t>Global Inv - Mar 2026</t>
        </is>
      </c>
      <c r="Z513" s="153" t="inlineStr">
        <is>
          <t>Technical documentation authoring and publishing software suite</t>
        </is>
      </c>
      <c r="AA513" s="153" t="inlineStr">
        <is>
          <t>Marketing</t>
        </is>
      </c>
      <c r="AB513" s="121">
        <f>VLOOKUP(AA513,CategorySummaryTable[],2,FALSE)</f>
        <v/>
      </c>
    </row>
    <row r="514" ht="64" customHeight="1" s="142">
      <c r="B514" s="80" t="inlineStr">
        <is>
          <t>Test PKI Sub CA</t>
        </is>
      </c>
      <c r="C514" s="75" t="inlineStr">
        <is>
          <t>Not an application.</t>
        </is>
      </c>
      <c r="D514" s="75" t="inlineStr">
        <is>
          <t>Unknown</t>
        </is>
      </c>
      <c r="E514" s="75" t="n"/>
      <c r="F514" s="75" t="n"/>
      <c r="G514" s="75" t="n"/>
      <c r="H514" s="75" t="inlineStr">
        <is>
          <t>Corporate</t>
        </is>
      </c>
      <c r="I514" s="75" t="inlineStr">
        <is>
          <t>Yes</t>
        </is>
      </c>
      <c r="J514" s="75" t="n"/>
      <c r="K514" s="75" t="n"/>
      <c r="L514" s="75" t="n"/>
      <c r="M514" s="75" t="n"/>
      <c r="N514" s="75" t="n"/>
      <c r="O514" s="75" t="n"/>
      <c r="P514" s="75" t="n"/>
      <c r="Q514" s="75" t="inlineStr">
        <is>
          <t>No</t>
        </is>
      </c>
      <c r="R514" s="75" t="n"/>
      <c r="S514" s="75" t="n"/>
      <c r="T514" s="76" t="n"/>
      <c r="U514" s="75" t="n"/>
      <c r="V514" s="76" t="n"/>
      <c r="Y514" s="153" t="inlineStr">
        <is>
          <t>Global Inv - Mar 2026</t>
        </is>
      </c>
      <c r="Z514" s="153" t="inlineStr">
        <is>
          <t>NA</t>
        </is>
      </c>
      <c r="AA514" s="153" t="inlineStr">
        <is>
          <t>Cyber Security</t>
        </is>
      </c>
      <c r="AB514" s="121">
        <f>VLOOKUP(AA514,CategorySummaryTable[],2,FALSE)</f>
        <v/>
      </c>
    </row>
    <row r="515" ht="64" customHeight="1" s="142">
      <c r="B515" s="77" t="inlineStr">
        <is>
          <t>TestWorks QT</t>
        </is>
      </c>
      <c r="C515" s="75" t="n"/>
      <c r="D515" s="75" t="inlineStr">
        <is>
          <t>Unknown</t>
        </is>
      </c>
      <c r="E515" s="75" t="inlineStr">
        <is>
          <t>Testworks</t>
        </is>
      </c>
      <c r="F515" s="75" t="n"/>
      <c r="G515" s="75" t="n"/>
      <c r="H515" s="75" t="inlineStr">
        <is>
          <t>Puerto Rico</t>
        </is>
      </c>
      <c r="I515" s="75" t="n"/>
      <c r="J515" s="75" t="n"/>
      <c r="K515" s="75" t="inlineStr">
        <is>
          <t>Desktop</t>
        </is>
      </c>
      <c r="L515" s="75" t="n"/>
      <c r="M515" s="75" t="n"/>
      <c r="N515" s="75" t="n"/>
      <c r="O515" s="75" t="n"/>
      <c r="P515" s="75" t="n"/>
      <c r="Q515" s="75" t="inlineStr">
        <is>
          <t>Y</t>
        </is>
      </c>
      <c r="R515" s="75" t="n"/>
      <c r="S515" s="75" t="n"/>
      <c r="T515" s="76" t="n"/>
      <c r="U515" s="75" t="n"/>
      <c r="V515" s="76" t="n"/>
      <c r="Y515" s="153" t="inlineStr">
        <is>
          <t>Global Inv - Mar 2026</t>
        </is>
      </c>
      <c r="Z515" s="153" t="inlineStr">
        <is>
          <t>NA</t>
        </is>
      </c>
      <c r="AA515" s="153" t="inlineStr">
        <is>
          <t>IT Operations</t>
        </is>
      </c>
      <c r="AB515" s="121">
        <f>VLOOKUP(AA515,CategorySummaryTable[],2,FALSE)</f>
        <v/>
      </c>
    </row>
    <row r="516" ht="80" customHeight="1" s="142">
      <c r="B516" s="80" t="inlineStr">
        <is>
          <t>ThreadTech</t>
        </is>
      </c>
      <c r="C516" s="75" t="inlineStr">
        <is>
          <t>apparel production and development</t>
        </is>
      </c>
      <c r="D516" s="75" t="inlineStr">
        <is>
          <t>Unknown</t>
        </is>
      </c>
      <c r="E516" s="75" t="inlineStr">
        <is>
          <t>ThreadCheck/ Osborne? Or ThreadTech Inc.?</t>
        </is>
      </c>
      <c r="F516" s="75" t="n"/>
      <c r="G516" s="75" t="n"/>
      <c r="H516" s="75" t="n"/>
      <c r="I516" s="75" t="n"/>
      <c r="J516" s="75" t="inlineStr">
        <is>
          <t>Other</t>
        </is>
      </c>
      <c r="K516" s="75" t="n"/>
      <c r="L516" s="75" t="n"/>
      <c r="M516" s="75" t="n"/>
      <c r="N516" s="75" t="n"/>
      <c r="O516" s="75" t="n"/>
      <c r="P516" s="75" t="n"/>
      <c r="Q516" s="75" t="n"/>
      <c r="R516" s="75" t="n"/>
      <c r="S516" s="75" t="n"/>
      <c r="T516" s="76" t="n"/>
      <c r="U516" s="75" t="n"/>
      <c r="V516" s="76" t="n"/>
      <c r="Y516" s="153" t="inlineStr">
        <is>
          <t>Global Inv - Mar 2026</t>
        </is>
      </c>
      <c r="Z516" s="153" t="inlineStr">
        <is>
          <t>Apparel/textile production and product development software</t>
        </is>
      </c>
      <c r="AA516" s="153" t="inlineStr">
        <is>
          <t>Manufacturing</t>
        </is>
      </c>
      <c r="AB516" s="121">
        <f>VLOOKUP(AA516,CategorySummaryTable[],2,FALSE)</f>
        <v/>
      </c>
    </row>
    <row r="517" ht="64" customHeight="1" s="142">
      <c r="B517" s="80" t="inlineStr">
        <is>
          <t>Thycotic</t>
        </is>
      </c>
      <c r="C517" s="87" t="n"/>
      <c r="D517" s="87" t="n"/>
      <c r="E517" s="88" t="n"/>
      <c r="F517" s="87" t="n"/>
      <c r="G517" s="88" t="n"/>
      <c r="H517" s="88" t="n"/>
      <c r="I517" s="88" t="n"/>
      <c r="J517" s="88" t="n"/>
      <c r="K517" s="88" t="n"/>
      <c r="L517" s="88" t="n"/>
      <c r="M517" s="88" t="n"/>
      <c r="N517" s="88" t="n"/>
      <c r="O517" s="88" t="n"/>
      <c r="P517" s="88" t="n"/>
      <c r="Q517" s="88" t="inlineStr">
        <is>
          <t>No</t>
        </is>
      </c>
      <c r="R517" s="88" t="n"/>
      <c r="S517" s="87" t="inlineStr">
        <is>
          <t>Kevin McParland</t>
        </is>
      </c>
      <c r="T517" s="89" t="n">
        <v>44693</v>
      </c>
      <c r="U517" s="87" t="n"/>
      <c r="V517" s="89" t="n"/>
      <c r="Y517" s="153" t="inlineStr">
        <is>
          <t>Global Inv - Mar 2026</t>
        </is>
      </c>
      <c r="Z517" s="153" t="inlineStr">
        <is>
          <t>Privileged access management and password vault software</t>
        </is>
      </c>
      <c r="AA517" s="153" t="inlineStr">
        <is>
          <t>Cyber Security</t>
        </is>
      </c>
      <c r="AB517" s="121">
        <f>VLOOKUP(AA517,CategorySummaryTable[],2,FALSE)</f>
        <v/>
      </c>
    </row>
    <row r="518" ht="64" customHeight="1" s="142">
      <c r="B518" s="80" t="inlineStr">
        <is>
          <t>TightVNC</t>
        </is>
      </c>
      <c r="C518" s="75" t="inlineStr">
        <is>
          <t>Remote desktop</t>
        </is>
      </c>
      <c r="D518" s="75" t="inlineStr">
        <is>
          <t>Unknown</t>
        </is>
      </c>
      <c r="E518" s="75" t="inlineStr">
        <is>
          <t>TightVNC</t>
        </is>
      </c>
      <c r="F518" s="75" t="n"/>
      <c r="G518" s="75" t="n"/>
      <c r="H518" s="75" t="n"/>
      <c r="I518" s="75" t="n"/>
      <c r="J518" s="75" t="inlineStr">
        <is>
          <t>Other</t>
        </is>
      </c>
      <c r="K518" s="75" t="n"/>
      <c r="L518" s="75" t="n"/>
      <c r="M518" s="75" t="n"/>
      <c r="N518" s="75" t="n"/>
      <c r="O518" s="75" t="n"/>
      <c r="P518" s="75" t="n"/>
      <c r="Q518" s="75" t="n"/>
      <c r="R518" s="75" t="n"/>
      <c r="S518" s="75" t="n"/>
      <c r="T518" s="76" t="n"/>
      <c r="U518" s="75" t="n"/>
      <c r="V518" s="76" t="n"/>
      <c r="Y518" s="153" t="inlineStr">
        <is>
          <t>Global Inv - Mar 2026</t>
        </is>
      </c>
      <c r="Z518" s="153" t="inlineStr">
        <is>
          <t>Remote desktop access software (VNC)</t>
        </is>
      </c>
      <c r="AA518" s="153" t="inlineStr">
        <is>
          <t>IT Operations</t>
        </is>
      </c>
      <c r="AB518" s="121">
        <f>VLOOKUP(AA518,CategorySummaryTable[],2,FALSE)</f>
        <v/>
      </c>
    </row>
    <row r="519" ht="80" customHeight="1" s="142">
      <c r="B519" s="80" t="inlineStr">
        <is>
          <t>Titrator</t>
        </is>
      </c>
      <c r="C519" s="75" t="n"/>
      <c r="D519" s="75" t="inlineStr">
        <is>
          <t>Unknown</t>
        </is>
      </c>
      <c r="E519" s="75" t="n"/>
      <c r="F519" s="75" t="n"/>
      <c r="G519" s="75" t="n"/>
      <c r="H519" s="75" t="n"/>
      <c r="I519" s="75" t="n"/>
      <c r="J519" s="75" t="inlineStr">
        <is>
          <t>Other</t>
        </is>
      </c>
      <c r="K519" s="75" t="n"/>
      <c r="L519" s="75" t="n"/>
      <c r="M519" s="75" t="n"/>
      <c r="N519" s="75" t="n"/>
      <c r="O519" s="75" t="n"/>
      <c r="P519" s="75" t="n"/>
      <c r="Q519" s="75" t="n"/>
      <c r="R519" s="75" t="n"/>
      <c r="S519" s="75" t="n"/>
      <c r="T519" s="76" t="n"/>
      <c r="U519" s="75" t="n"/>
      <c r="V519" s="76" t="n"/>
      <c r="Y519" s="153" t="inlineStr">
        <is>
          <t>Global Inv - Mar 2026</t>
        </is>
      </c>
      <c r="Z519" s="153" t="inlineStr">
        <is>
          <t>NA</t>
        </is>
      </c>
      <c r="AA519" s="153" t="inlineStr">
        <is>
          <t>Clinical Manufacturing Process</t>
        </is>
      </c>
      <c r="AB519" s="121">
        <f>VLOOKUP(AA519,CategorySummaryTable[],2,FALSE)</f>
        <v/>
      </c>
    </row>
    <row r="520" ht="80" customHeight="1" s="142">
      <c r="B520" s="56" t="inlineStr">
        <is>
          <t>TOTALCHROM</t>
        </is>
      </c>
      <c r="C520" s="75" t="n"/>
      <c r="D520" s="75" t="inlineStr">
        <is>
          <t>Unknown</t>
        </is>
      </c>
      <c r="E520" s="75" t="inlineStr">
        <is>
          <t>PerkinElmer</t>
        </is>
      </c>
      <c r="F520" s="75" t="n"/>
      <c r="G520" s="75" t="n"/>
      <c r="H520" s="75" t="inlineStr">
        <is>
          <t>Plainsboro Corp</t>
        </is>
      </c>
      <c r="I520" s="75" t="n"/>
      <c r="J520" s="75" t="n"/>
      <c r="K520" s="75" t="inlineStr">
        <is>
          <t>Local</t>
        </is>
      </c>
      <c r="L520" s="75" t="n"/>
      <c r="M520" s="75" t="n"/>
      <c r="N520" s="75" t="n"/>
      <c r="O520" s="75" t="n"/>
      <c r="P520" s="75" t="n"/>
      <c r="Q520" s="75" t="inlineStr">
        <is>
          <t>Y</t>
        </is>
      </c>
      <c r="R520" s="75" t="n"/>
      <c r="S520" s="75" t="n"/>
      <c r="T520" s="76" t="n"/>
      <c r="U520" s="75" t="n"/>
      <c r="V520" s="76" t="n"/>
      <c r="Y520" s="153" t="inlineStr">
        <is>
          <t>Global Inv - Mar 2026</t>
        </is>
      </c>
      <c r="Z520" s="153" t="inlineStr">
        <is>
          <t>Chromatography data acquisition and analysis software</t>
        </is>
      </c>
      <c r="AA520" s="153" t="inlineStr">
        <is>
          <t>Clinical Manufacturing Process</t>
        </is>
      </c>
      <c r="AB520" s="121">
        <f>VLOOKUP(AA520,CategorySummaryTable[],2,FALSE)</f>
        <v/>
      </c>
    </row>
    <row r="521" ht="80" customHeight="1" s="142">
      <c r="B521" s="91" t="inlineStr">
        <is>
          <t>Trackwise</t>
        </is>
      </c>
      <c r="C521" s="75" t="inlineStr">
        <is>
          <t>Third party software from Sparta Systems. This is a GxP validated system.
5/10/2023: Trackwise on Prem will remain active until 2025/2026 as per the plan right now. We are moving to TrackWise Digital which is on Salesforce platform. We do not have a time line for moving Complaints to TrackWise Digital as of now. It could be 2025 or 2026. Not sure.</t>
        </is>
      </c>
      <c r="D521" s="75" t="inlineStr">
        <is>
          <t>Active</t>
        </is>
      </c>
      <c r="E521" s="75" t="inlineStr">
        <is>
          <t>Sparta Systems Inc</t>
        </is>
      </c>
      <c r="F521" s="75" t="n"/>
      <c r="G521" s="75" t="inlineStr">
        <is>
          <t>Enterprise</t>
        </is>
      </c>
      <c r="H521" s="75" t="n"/>
      <c r="I521" s="75" t="inlineStr">
        <is>
          <t>Yes</t>
        </is>
      </c>
      <c r="J521" s="75" t="n"/>
      <c r="K521" s="75" t="inlineStr">
        <is>
          <t>On Premises (Client/Server)</t>
        </is>
      </c>
      <c r="L521" s="75" t="n"/>
      <c r="M521" s="75" t="inlineStr">
        <is>
          <t>Yes</t>
        </is>
      </c>
      <c r="N521" s="75" t="inlineStr">
        <is>
          <t>Yes</t>
        </is>
      </c>
      <c r="O521" s="75" t="inlineStr">
        <is>
          <t>LDAP</t>
        </is>
      </c>
      <c r="P521" s="75" t="inlineStr">
        <is>
          <t>T1</t>
        </is>
      </c>
      <c r="Q521" s="75" t="inlineStr">
        <is>
          <t>Yes</t>
        </is>
      </c>
      <c r="R521" s="75" t="n">
        <v>4</v>
      </c>
      <c r="S521" s="75" t="inlineStr">
        <is>
          <t>Vincent Lu</t>
        </is>
      </c>
      <c r="T521" s="76" t="n">
        <v>45056</v>
      </c>
      <c r="U521" s="75" t="inlineStr">
        <is>
          <t>Jan 19, 2022 via Kanaka Nair</t>
        </is>
      </c>
      <c r="V521" s="76" t="n">
        <v>44580</v>
      </c>
      <c r="X521" s="65" t="inlineStr">
        <is>
          <t>TW On Prem to be retired once Complaint is moved to TrackWise Digital</t>
        </is>
      </c>
      <c r="Y521" s="153" t="inlineStr">
        <is>
          <t>Global Inv - Mar 2026</t>
        </is>
      </c>
      <c r="Z521" s="153" t="inlineStr">
        <is>
          <t>Quality management and regulatory compliance (QMS) software</t>
        </is>
      </c>
      <c r="AA521" s="153" t="inlineStr">
        <is>
          <t>Quality and Validation</t>
        </is>
      </c>
      <c r="AB521" s="121">
        <f>VLOOKUP(AA521,CategorySummaryTable[],2,FALSE)</f>
        <v/>
      </c>
    </row>
    <row r="522" ht="80" customHeight="1" s="142">
      <c r="B522" s="108" t="inlineStr">
        <is>
          <t>Train Track</t>
        </is>
      </c>
      <c r="C522" s="75" t="inlineStr">
        <is>
          <t>HR Training system- have to check up on this!</t>
        </is>
      </c>
      <c r="D522" s="75" t="inlineStr">
        <is>
          <t>Not Started</t>
        </is>
      </c>
      <c r="E522" s="75" t="inlineStr">
        <is>
          <t>TraLabs + Liberty Labs</t>
        </is>
      </c>
      <c r="F522" s="75" t="n"/>
      <c r="G522" s="75" t="n"/>
      <c r="H522" s="75" t="inlineStr">
        <is>
          <t>Tullamore</t>
        </is>
      </c>
      <c r="I522" s="75" t="n"/>
      <c r="J522" s="75" t="inlineStr">
        <is>
          <t>Other</t>
        </is>
      </c>
      <c r="K522" s="75" t="inlineStr">
        <is>
          <t>SAAS</t>
        </is>
      </c>
      <c r="L522" s="75" t="n"/>
      <c r="M522" s="75" t="n"/>
      <c r="N522" s="75" t="n"/>
      <c r="O522" s="75" t="n"/>
      <c r="P522" s="75" t="n"/>
      <c r="Q522" s="75" t="inlineStr">
        <is>
          <t>in-process</t>
        </is>
      </c>
      <c r="R522" s="75" t="n"/>
      <c r="S522" s="75" t="n"/>
      <c r="T522" s="76" t="n"/>
      <c r="U522" s="75" t="n"/>
      <c r="V522" s="76" t="n"/>
      <c r="Y522" s="153" t="inlineStr">
        <is>
          <t>Global Inv - Mar 2026</t>
        </is>
      </c>
      <c r="Z522" s="153" t="inlineStr">
        <is>
          <t>Employee training tracking and management software</t>
        </is>
      </c>
      <c r="AA522" s="153" t="inlineStr">
        <is>
          <t>Human Resources and Talent</t>
        </is>
      </c>
      <c r="AB522" s="121">
        <f>VLOOKUP(AA522,CategorySummaryTable[],2,FALSE)</f>
        <v/>
      </c>
    </row>
    <row r="523" ht="80" customHeight="1" s="142">
      <c r="B523" s="77" t="inlineStr">
        <is>
          <t>Training Manager</t>
        </is>
      </c>
      <c r="C523" s="75" t="inlineStr">
        <is>
          <t>Desktop application with a single license installed on Bob Derby's machine</t>
        </is>
      </c>
      <c r="D523" s="75" t="inlineStr">
        <is>
          <t>Unknown</t>
        </is>
      </c>
      <c r="E523" s="75" t="inlineStr">
        <is>
          <t>Harrington Group</t>
        </is>
      </c>
      <c r="F523" s="75" t="n"/>
      <c r="G523" s="75" t="n"/>
      <c r="H523" s="75" t="inlineStr">
        <is>
          <t>Salt Lake city</t>
        </is>
      </c>
      <c r="I523" s="75" t="n"/>
      <c r="J523" s="75" t="n"/>
      <c r="K523" s="75" t="inlineStr">
        <is>
          <t>Desktop</t>
        </is>
      </c>
      <c r="L523" s="75" t="n"/>
      <c r="M523" s="75" t="n"/>
      <c r="N523" s="75" t="n"/>
      <c r="O523" s="75" t="n"/>
      <c r="P523" s="75" t="n"/>
      <c r="Q523" s="75" t="inlineStr">
        <is>
          <t>N</t>
        </is>
      </c>
      <c r="R523" s="75" t="n"/>
      <c r="S523" s="75" t="n"/>
      <c r="T523" s="76" t="n"/>
      <c r="U523" s="75" t="n"/>
      <c r="V523" s="76" t="n"/>
      <c r="Y523" s="153" t="inlineStr">
        <is>
          <t>Global Inv - Mar 2026</t>
        </is>
      </c>
      <c r="Z523" s="153" t="inlineStr">
        <is>
          <t>Quality/compliance training management software</t>
        </is>
      </c>
      <c r="AA523" s="153" t="inlineStr">
        <is>
          <t>Human Resources and Talent</t>
        </is>
      </c>
      <c r="AB523" s="121">
        <f>VLOOKUP(AA523,CategorySummaryTable[],2,FALSE)</f>
        <v/>
      </c>
    </row>
    <row r="524" ht="80" customHeight="1" s="142">
      <c r="B524" s="80" t="inlineStr">
        <is>
          <t>Trello</t>
        </is>
      </c>
      <c r="C524" s="75" t="inlineStr">
        <is>
          <t>Project management software</t>
        </is>
      </c>
      <c r="D524" s="75" t="inlineStr">
        <is>
          <t>Unknown</t>
        </is>
      </c>
      <c r="E524" s="75" t="inlineStr">
        <is>
          <t>Atlassian</t>
        </is>
      </c>
      <c r="F524" s="75" t="n"/>
      <c r="G524" s="75" t="n"/>
      <c r="H524" s="75" t="n"/>
      <c r="I524" s="75" t="n"/>
      <c r="J524" s="75" t="inlineStr">
        <is>
          <t>Other</t>
        </is>
      </c>
      <c r="K524" s="75" t="n"/>
      <c r="L524" s="75" t="n"/>
      <c r="M524" s="75" t="n"/>
      <c r="N524" s="75" t="n"/>
      <c r="O524" s="75" t="n"/>
      <c r="P524" s="75" t="n"/>
      <c r="Q524" s="75" t="n"/>
      <c r="R524" s="75" t="n"/>
      <c r="S524" s="75" t="n"/>
      <c r="T524" s="76" t="n"/>
      <c r="U524" s="75" t="n"/>
      <c r="V524" s="76" t="n"/>
      <c r="Y524" s="153" t="inlineStr">
        <is>
          <t>Global Inv - Mar 2026</t>
        </is>
      </c>
      <c r="Z524" s="153" t="inlineStr">
        <is>
          <t>Kanban-style project and task management software</t>
        </is>
      </c>
      <c r="AA524" s="153" t="inlineStr">
        <is>
          <t>Enterprise Agility</t>
        </is>
      </c>
      <c r="AB524" s="121">
        <f>VLOOKUP(AA524,CategorySummaryTable[],2,FALSE)</f>
        <v/>
      </c>
    </row>
    <row r="525" ht="64" customHeight="1" s="142">
      <c r="B525" s="80" t="inlineStr">
        <is>
          <t>UEStudio</t>
        </is>
      </c>
      <c r="C525" s="75" t="inlineStr">
        <is>
          <t>Text editor for building applications, maintaining databases, or constructing websites</t>
        </is>
      </c>
      <c r="D525" s="75" t="inlineStr">
        <is>
          <t>Unknown</t>
        </is>
      </c>
      <c r="E525" s="75" t="inlineStr">
        <is>
          <t>Idera Inc.</t>
        </is>
      </c>
      <c r="F525" s="75" t="n"/>
      <c r="G525" s="75" t="n"/>
      <c r="H525" s="75" t="n"/>
      <c r="I525" s="75" t="n"/>
      <c r="J525" s="75" t="inlineStr">
        <is>
          <t>Other</t>
        </is>
      </c>
      <c r="K525" s="75" t="n"/>
      <c r="L525" s="75" t="n"/>
      <c r="M525" s="75" t="n"/>
      <c r="N525" s="75" t="n"/>
      <c r="O525" s="75" t="n"/>
      <c r="P525" s="75" t="n"/>
      <c r="Q525" s="75" t="n"/>
      <c r="R525" s="75" t="n"/>
      <c r="S525" s="75" t="n"/>
      <c r="T525" s="76" t="n"/>
      <c r="U525" s="75" t="n"/>
      <c r="V525" s="76" t="n"/>
      <c r="Y525" s="153" t="inlineStr">
        <is>
          <t>Global Inv - Mar 2026</t>
        </is>
      </c>
      <c r="Z525" s="153" t="inlineStr">
        <is>
          <t>Code/text editor for development and database work</t>
        </is>
      </c>
      <c r="AA525" s="153" t="inlineStr">
        <is>
          <t>IT Operations</t>
        </is>
      </c>
      <c r="AB525" s="121">
        <f>VLOOKUP(AA525,CategorySummaryTable[],2,FALSE)</f>
        <v/>
      </c>
    </row>
    <row r="526" ht="64" customHeight="1" s="142">
      <c r="B526" s="77" t="inlineStr">
        <is>
          <t>Ultimate Zip</t>
        </is>
      </c>
      <c r="C526" s="75" t="inlineStr">
        <is>
          <t>Marked for deletetion</t>
        </is>
      </c>
      <c r="D526" s="75" t="inlineStr">
        <is>
          <t>Unknown</t>
        </is>
      </c>
      <c r="E526" s="75" t="n"/>
      <c r="F526" s="75" t="n"/>
      <c r="G526" s="75" t="n"/>
      <c r="H526" s="75" t="inlineStr">
        <is>
          <t>Germany</t>
        </is>
      </c>
      <c r="I526" s="75" t="n"/>
      <c r="J526" s="75" t="n"/>
      <c r="K526" s="75" t="inlineStr">
        <is>
          <t>local</t>
        </is>
      </c>
      <c r="L526" s="75" t="n"/>
      <c r="M526" s="75" t="n"/>
      <c r="N526" s="75" t="n"/>
      <c r="O526" s="75" t="n"/>
      <c r="P526" s="75" t="n"/>
      <c r="Q526" s="75" t="inlineStr">
        <is>
          <t>N</t>
        </is>
      </c>
      <c r="R526" s="75" t="n"/>
      <c r="S526" s="75" t="n"/>
      <c r="T526" s="76" t="n"/>
      <c r="U526" s="75" t="n"/>
      <c r="V526" s="76" t="n"/>
      <c r="Y526" s="153" t="inlineStr">
        <is>
          <t>Global Inv - Mar 2026</t>
        </is>
      </c>
      <c r="Z526" s="153" t="inlineStr">
        <is>
          <t>File compression and archiving software</t>
        </is>
      </c>
      <c r="AA526" s="153" t="inlineStr">
        <is>
          <t>IT Operations</t>
        </is>
      </c>
      <c r="AB526" s="121">
        <f>VLOOKUP(AA526,CategorySummaryTable[],2,FALSE)</f>
        <v/>
      </c>
    </row>
    <row r="527" ht="64" customHeight="1" s="142">
      <c r="B527" s="77" t="inlineStr">
        <is>
          <t>Uniflow</t>
        </is>
      </c>
      <c r="C527" s="75" t="inlineStr">
        <is>
          <t>Uniflow Server is one integrated platform for all document print processes</t>
        </is>
      </c>
      <c r="D527" s="75" t="inlineStr">
        <is>
          <t>Unknown</t>
        </is>
      </c>
      <c r="E527" s="75" t="n"/>
      <c r="F527" s="75" t="n"/>
      <c r="G527" s="75" t="n"/>
      <c r="H527" s="75" t="n"/>
      <c r="I527" s="75" t="inlineStr">
        <is>
          <t>Yes</t>
        </is>
      </c>
      <c r="J527" s="75" t="n"/>
      <c r="K527" s="75" t="inlineStr">
        <is>
          <t>On Premises (Client/Server)</t>
        </is>
      </c>
      <c r="L527" s="75" t="n"/>
      <c r="M527" s="75" t="n"/>
      <c r="N527" s="75" t="n"/>
      <c r="O527" s="75" t="n"/>
      <c r="P527" s="75" t="n"/>
      <c r="Q527" s="75" t="inlineStr">
        <is>
          <t>No</t>
        </is>
      </c>
      <c r="R527" s="75" t="n"/>
      <c r="S527" s="75" t="n"/>
      <c r="T527" s="76" t="n"/>
      <c r="U527" s="75" t="inlineStr">
        <is>
          <t>server?</t>
        </is>
      </c>
      <c r="V527" s="76" t="n"/>
      <c r="Y527" s="153" t="inlineStr">
        <is>
          <t>Global Inv - Mar 2026</t>
        </is>
      </c>
      <c r="Z527" s="153" t="inlineStr">
        <is>
          <t>Print management and output/document workflow software</t>
        </is>
      </c>
      <c r="AA527" s="153" t="inlineStr">
        <is>
          <t>IT Operations</t>
        </is>
      </c>
      <c r="AB527" s="121">
        <f>VLOOKUP(AA527,CategorySummaryTable[],2,FALSE)</f>
        <v/>
      </c>
    </row>
    <row r="528" ht="64" customHeight="1" s="142">
      <c r="B528" s="80" t="inlineStr">
        <is>
          <t>Uniflow</t>
        </is>
      </c>
      <c r="C528" s="75" t="inlineStr">
        <is>
          <t>Workaround exists.</t>
        </is>
      </c>
      <c r="D528" s="75" t="inlineStr">
        <is>
          <t>Unknown</t>
        </is>
      </c>
      <c r="E528" s="75" t="inlineStr">
        <is>
          <t>uniFLOW</t>
        </is>
      </c>
      <c r="F528" s="75" t="n"/>
      <c r="G528" s="75" t="n"/>
      <c r="H528" s="75" t="inlineStr">
        <is>
          <t>US</t>
        </is>
      </c>
      <c r="I528" s="75" t="inlineStr">
        <is>
          <t>Yes</t>
        </is>
      </c>
      <c r="J528" s="75" t="n"/>
      <c r="K528" s="75" t="n"/>
      <c r="L528" s="75" t="n"/>
      <c r="M528" s="75" t="n"/>
      <c r="N528" s="75" t="n"/>
      <c r="O528" s="75" t="n"/>
      <c r="P528" s="75" t="n"/>
      <c r="Q528" s="75" t="inlineStr">
        <is>
          <t>No</t>
        </is>
      </c>
      <c r="R528" s="75" t="n"/>
      <c r="S528" s="75" t="n"/>
      <c r="T528" s="76" t="n"/>
      <c r="U528" s="75" t="inlineStr">
        <is>
          <t>server?</t>
        </is>
      </c>
      <c r="V528" s="76" t="n"/>
      <c r="Y528" s="153" t="inlineStr">
        <is>
          <t>Global Inv - Mar 2026</t>
        </is>
      </c>
      <c r="Z528" s="153" t="inlineStr">
        <is>
          <t>Print management and output/document workflow software</t>
        </is>
      </c>
      <c r="AA528" s="153" t="inlineStr">
        <is>
          <t>IT Operations</t>
        </is>
      </c>
      <c r="AB528" s="121">
        <f>VLOOKUP(AA528,CategorySummaryTable[],2,FALSE)</f>
        <v/>
      </c>
    </row>
    <row r="529" ht="80" customHeight="1" s="142">
      <c r="B529" s="77" t="inlineStr">
        <is>
          <t>Universal Analysis 2000</t>
        </is>
      </c>
      <c r="C529" s="75" t="n"/>
      <c r="D529" s="75" t="inlineStr">
        <is>
          <t>Unknown</t>
        </is>
      </c>
      <c r="E529" s="75" t="inlineStr">
        <is>
          <t>TA instruments</t>
        </is>
      </c>
      <c r="F529" s="75" t="n"/>
      <c r="G529" s="75" t="n"/>
      <c r="H529" s="75" t="inlineStr">
        <is>
          <t>Plainsboro Corp</t>
        </is>
      </c>
      <c r="I529" s="75" t="n"/>
      <c r="J529" s="75" t="n"/>
      <c r="K529" s="75" t="n"/>
      <c r="L529" s="75" t="n"/>
      <c r="M529" s="75" t="n"/>
      <c r="N529" s="75" t="n"/>
      <c r="O529" s="75" t="n"/>
      <c r="P529" s="75" t="n"/>
      <c r="Q529" s="75" t="inlineStr">
        <is>
          <t>Y</t>
        </is>
      </c>
      <c r="R529" s="75" t="n"/>
      <c r="S529" s="75" t="n"/>
      <c r="T529" s="76" t="n"/>
      <c r="U529" s="75" t="n"/>
      <c r="V529" s="76" t="n"/>
      <c r="Y529" s="153" t="inlineStr">
        <is>
          <t>Global Inv - Mar 2026</t>
        </is>
      </c>
      <c r="Z529" s="153" t="inlineStr">
        <is>
          <t>Thermal analysis data evaluation software</t>
        </is>
      </c>
      <c r="AA529" s="153" t="inlineStr">
        <is>
          <t>Clinical Manufacturing Process</t>
        </is>
      </c>
      <c r="AB529" s="121">
        <f>VLOOKUP(AA529,CategorySummaryTable[],2,FALSE)</f>
        <v/>
      </c>
    </row>
    <row r="530" ht="64" customHeight="1" s="142">
      <c r="B530" s="80" t="inlineStr">
        <is>
          <t>Unknown</t>
        </is>
      </c>
      <c r="C530" s="75" t="inlineStr">
        <is>
          <t>:)</t>
        </is>
      </c>
      <c r="D530" s="75" t="inlineStr">
        <is>
          <t>Unknown</t>
        </is>
      </c>
      <c r="E530" s="75" t="n"/>
      <c r="F530" s="75" t="n"/>
      <c r="G530" s="75" t="n"/>
      <c r="H530" s="75" t="n"/>
      <c r="I530" s="75" t="inlineStr">
        <is>
          <t>Yes</t>
        </is>
      </c>
      <c r="J530" s="75" t="n"/>
      <c r="K530" s="75" t="n"/>
      <c r="L530" s="75" t="n"/>
      <c r="M530" s="75" t="n"/>
      <c r="N530" s="75" t="n"/>
      <c r="O530" s="75" t="n"/>
      <c r="P530" s="75" t="n"/>
      <c r="Q530" s="75" t="inlineStr">
        <is>
          <t>No</t>
        </is>
      </c>
      <c r="R530" s="75" t="n"/>
      <c r="S530" s="75" t="n"/>
      <c r="T530" s="76" t="n"/>
      <c r="U530" s="75" t="n"/>
      <c r="V530" s="76" t="n"/>
      <c r="Y530" s="153" t="inlineStr">
        <is>
          <t>Global Inv - Mar 2026</t>
        </is>
      </c>
      <c r="Z530" s="153" t="inlineStr">
        <is>
          <t>NA</t>
        </is>
      </c>
      <c r="AA530" s="153" t="inlineStr">
        <is>
          <t>IT Operations</t>
        </is>
      </c>
      <c r="AB530" s="121">
        <f>VLOOKUP(AA530,CategorySummaryTable[],2,FALSE)</f>
        <v/>
      </c>
    </row>
    <row r="531" ht="64" customHeight="1" s="142">
      <c r="B531" s="77" t="inlineStr">
        <is>
          <t>UPK SQL</t>
        </is>
      </c>
      <c r="C531" s="75" t="n"/>
      <c r="D531" s="75" t="inlineStr">
        <is>
          <t>Unknown</t>
        </is>
      </c>
      <c r="E531" s="75" t="inlineStr">
        <is>
          <t>Microsoft</t>
        </is>
      </c>
      <c r="F531" s="75" t="n"/>
      <c r="G531" s="75" t="n"/>
      <c r="H531" s="75" t="inlineStr">
        <is>
          <t>All EU</t>
        </is>
      </c>
      <c r="I531" s="75" t="inlineStr">
        <is>
          <t>Yes</t>
        </is>
      </c>
      <c r="J531" s="75" t="n"/>
      <c r="K531" s="75" t="inlineStr">
        <is>
          <t>On Premises (Client/Server)</t>
        </is>
      </c>
      <c r="L531" s="75" t="n"/>
      <c r="M531" s="75" t="n"/>
      <c r="N531" s="75" t="n"/>
      <c r="O531" s="75" t="n"/>
      <c r="P531" s="75" t="n"/>
      <c r="Q531" s="75" t="inlineStr">
        <is>
          <t>N</t>
        </is>
      </c>
      <c r="R531" s="75" t="n"/>
      <c r="S531" s="75" t="n"/>
      <c r="T531" s="76" t="n"/>
      <c r="U531" s="75" t="n"/>
      <c r="V531" s="76" t="n"/>
      <c r="Y531" s="153" t="inlineStr">
        <is>
          <t>Global Inv - Mar 2026</t>
        </is>
      </c>
      <c r="Z531" s="153" t="inlineStr">
        <is>
          <t>NA</t>
        </is>
      </c>
      <c r="AA531" s="153" t="inlineStr">
        <is>
          <t>IT Operations</t>
        </is>
      </c>
      <c r="AB531" s="121">
        <f>VLOOKUP(AA531,CategorySummaryTable[],2,FALSE)</f>
        <v/>
      </c>
    </row>
    <row r="532" ht="96" customHeight="1" s="142">
      <c r="B532" s="91" t="inlineStr">
        <is>
          <t>UPS WorldShip</t>
        </is>
      </c>
      <c r="C532" s="75" t="inlineStr">
        <is>
          <t>Shipping</t>
        </is>
      </c>
      <c r="D532" s="75" t="inlineStr">
        <is>
          <t>Unknown</t>
        </is>
      </c>
      <c r="E532" s="75" t="inlineStr">
        <is>
          <t>UPS</t>
        </is>
      </c>
      <c r="F532" s="75" t="n"/>
      <c r="G532" s="75" t="n"/>
      <c r="H532" s="75" t="inlineStr">
        <is>
          <t>Austin, Cincinnati, Salt Lake</t>
        </is>
      </c>
      <c r="I532" s="75" t="n"/>
      <c r="J532" s="75" t="n"/>
      <c r="K532" s="75" t="inlineStr">
        <is>
          <t>Desktop</t>
        </is>
      </c>
      <c r="L532" s="75" t="n"/>
      <c r="M532" s="75" t="n"/>
      <c r="N532" s="75" t="n"/>
      <c r="O532" s="75" t="n"/>
      <c r="P532" s="75" t="n"/>
      <c r="Q532" s="75" t="inlineStr">
        <is>
          <t>N</t>
        </is>
      </c>
      <c r="R532" s="75" t="n"/>
      <c r="S532" s="75" t="inlineStr">
        <is>
          <t>Michael Patterson</t>
        </is>
      </c>
      <c r="T532" s="76" t="n">
        <v>44516</v>
      </c>
      <c r="U532" s="75" t="inlineStr">
        <is>
          <t>Nov 16, 2021 via Michael Patterson</t>
        </is>
      </c>
      <c r="V532" s="76" t="n">
        <v>44516</v>
      </c>
      <c r="Y532" s="153" t="inlineStr">
        <is>
          <t>Global Inv - Mar 2026</t>
        </is>
      </c>
      <c r="Z532" s="153" t="inlineStr">
        <is>
          <t>Shipping and parcel logistics management software</t>
        </is>
      </c>
      <c r="AA532" s="153" t="inlineStr">
        <is>
          <t>Supply Chain and Distribution</t>
        </is>
      </c>
      <c r="AB532" s="121">
        <f>VLOOKUP(AA532,CategorySummaryTable[],2,FALSE)</f>
        <v/>
      </c>
    </row>
    <row r="533" ht="64" customHeight="1" s="142">
      <c r="B533" s="77" t="inlineStr">
        <is>
          <t>UrBackup</t>
        </is>
      </c>
      <c r="C533" s="75" t="inlineStr">
        <is>
          <t>Marked for deletetion</t>
        </is>
      </c>
      <c r="D533" s="75" t="inlineStr">
        <is>
          <t>Unknown</t>
        </is>
      </c>
      <c r="E533" s="106" t="n"/>
      <c r="F533" s="75" t="n"/>
      <c r="G533" s="75" t="n"/>
      <c r="H533" s="75" t="inlineStr">
        <is>
          <t>Puerto Rico</t>
        </is>
      </c>
      <c r="I533" s="75" t="n"/>
      <c r="J533" s="75" t="n"/>
      <c r="K533" s="75" t="n"/>
      <c r="L533" s="75" t="n"/>
      <c r="M533" s="75" t="n"/>
      <c r="N533" s="75" t="n"/>
      <c r="O533" s="75" t="n"/>
      <c r="P533" s="75" t="n"/>
      <c r="Q533" s="75" t="inlineStr">
        <is>
          <t>Yes</t>
        </is>
      </c>
      <c r="R533" s="75" t="n">
        <v>3</v>
      </c>
      <c r="S533" s="75" t="n"/>
      <c r="T533" s="76" t="n"/>
      <c r="U533" s="75" t="n"/>
      <c r="V533" s="76" t="n"/>
      <c r="Y533" s="153" t="inlineStr">
        <is>
          <t>Global Inv - Mar 2026</t>
        </is>
      </c>
      <c r="Z533" s="153" t="inlineStr">
        <is>
          <t>Open-source client/server backup software</t>
        </is>
      </c>
      <c r="AA533" s="153" t="inlineStr">
        <is>
          <t>IT Operations</t>
        </is>
      </c>
      <c r="AB533" s="121">
        <f>VLOOKUP(AA533,CategorySummaryTable[],2,FALSE)</f>
        <v/>
      </c>
    </row>
    <row r="534" ht="96" customHeight="1" s="142">
      <c r="B534" s="57" t="inlineStr">
        <is>
          <t>US Pharmacopeia</t>
        </is>
      </c>
      <c r="C534" s="75" t="inlineStr">
        <is>
          <t>Two compendia, the United States Pharmacopeia (USP) and the National Formulary (NF), containing standards for medicines, dosage forms, drug substances, excipients, biologics, compounded preparations, medical devices, dietary supplements, and other therapeutics.</t>
        </is>
      </c>
      <c r="D534" s="75" t="inlineStr">
        <is>
          <t>Active</t>
        </is>
      </c>
      <c r="E534" s="75" t="inlineStr">
        <is>
          <t>USP</t>
        </is>
      </c>
      <c r="F534" s="75" t="n"/>
      <c r="G534" s="75" t="n"/>
      <c r="H534" s="75" t="inlineStr">
        <is>
          <t>CMC, Le Locle, Anasco</t>
        </is>
      </c>
      <c r="I534" s="75" t="n"/>
      <c r="J534" s="75" t="inlineStr">
        <is>
          <t>Other</t>
        </is>
      </c>
      <c r="K534" s="75" t="inlineStr">
        <is>
          <t>Web</t>
        </is>
      </c>
      <c r="L534" s="75" t="n"/>
      <c r="M534" s="75" t="inlineStr">
        <is>
          <t>No</t>
        </is>
      </c>
      <c r="N534" s="75" t="n"/>
      <c r="O534" s="75" t="n"/>
      <c r="P534" s="75" t="inlineStr">
        <is>
          <t>T4</t>
        </is>
      </c>
      <c r="Q534" s="75" t="inlineStr">
        <is>
          <t>No</t>
        </is>
      </c>
      <c r="R534" s="75" t="n"/>
      <c r="S534" s="75" t="inlineStr">
        <is>
          <t>Sara Oberrecht</t>
        </is>
      </c>
      <c r="T534" s="76" t="n">
        <v>44645</v>
      </c>
      <c r="U534" s="75" t="inlineStr">
        <is>
          <t>March 25, 2022 via Sara Oberrecht</t>
        </is>
      </c>
      <c r="V534" s="76" t="n">
        <v>44645</v>
      </c>
      <c r="Y534" s="153" t="inlineStr">
        <is>
          <t>Global Inv - Mar 2026</t>
        </is>
      </c>
      <c r="Z534" s="153" t="inlineStr">
        <is>
          <t>Pharmacopeia reference standards and drug monograph compendia</t>
        </is>
      </c>
      <c r="AA534" s="153" t="inlineStr">
        <is>
          <t>Regulatory Affairs</t>
        </is>
      </c>
      <c r="AB534" s="121">
        <f>VLOOKUP(AA534,CategorySummaryTable[],2,FALSE)</f>
        <v/>
      </c>
    </row>
    <row r="535" ht="80" customHeight="1" s="142">
      <c r="B535" s="77" t="inlineStr">
        <is>
          <t>User Productivity Kit (UPK) Storage</t>
        </is>
      </c>
      <c r="C535" s="75" t="inlineStr">
        <is>
          <t>Utilized to store simulations created in UPK of Oracle and Agile for training purposes.</t>
        </is>
      </c>
      <c r="D535" s="75" t="inlineStr">
        <is>
          <t>Unknown</t>
        </is>
      </c>
      <c r="E535" s="75" t="n"/>
      <c r="F535" s="75" t="n"/>
      <c r="G535" s="75" t="n"/>
      <c r="H535" s="75" t="inlineStr">
        <is>
          <t>Corporate</t>
        </is>
      </c>
      <c r="I535" s="75" t="inlineStr">
        <is>
          <t>Yes</t>
        </is>
      </c>
      <c r="J535" s="75" t="n"/>
      <c r="K535" s="75" t="inlineStr">
        <is>
          <t>On Premises (Client/Server)</t>
        </is>
      </c>
      <c r="L535" s="75" t="n"/>
      <c r="M535" s="75" t="n"/>
      <c r="N535" s="75" t="n"/>
      <c r="O535" s="75" t="n"/>
      <c r="P535" s="75" t="n"/>
      <c r="Q535" s="75" t="inlineStr">
        <is>
          <t>No</t>
        </is>
      </c>
      <c r="R535" s="75" t="n"/>
      <c r="S535" s="75" t="n"/>
      <c r="T535" s="76" t="n"/>
      <c r="U535" s="75" t="n"/>
      <c r="V535" s="76" t="n"/>
      <c r="Y535" s="153" t="inlineStr">
        <is>
          <t>Global Inv - Mar 2026</t>
        </is>
      </c>
      <c r="Z535" s="153" t="inlineStr">
        <is>
          <t>NA</t>
        </is>
      </c>
      <c r="AA535" s="153" t="inlineStr">
        <is>
          <t>Human Resources and Talent</t>
        </is>
      </c>
      <c r="AB535" s="121">
        <f>VLOOKUP(AA535,CategorySummaryTable[],2,FALSE)</f>
        <v/>
      </c>
    </row>
    <row r="536" ht="80" customHeight="1" s="142">
      <c r="B536" s="56" t="inlineStr">
        <is>
          <t>UV WinLab</t>
        </is>
      </c>
      <c r="C536" s="75" t="n"/>
      <c r="D536" s="75" t="inlineStr">
        <is>
          <t>Unknown</t>
        </is>
      </c>
      <c r="E536" s="75" t="inlineStr">
        <is>
          <t>Perkin Elmer</t>
        </is>
      </c>
      <c r="F536" s="75" t="n"/>
      <c r="G536" s="75" t="n"/>
      <c r="H536" s="75" t="inlineStr">
        <is>
          <t>Plainsboro Corp</t>
        </is>
      </c>
      <c r="I536" s="75" t="n"/>
      <c r="J536" s="75" t="n"/>
      <c r="K536" s="75" t="inlineStr">
        <is>
          <t>Desktop</t>
        </is>
      </c>
      <c r="L536" s="75" t="n"/>
      <c r="M536" s="75" t="n"/>
      <c r="N536" s="75" t="n"/>
      <c r="O536" s="75" t="n"/>
      <c r="P536" s="75" t="n"/>
      <c r="Q536" s="75" t="inlineStr">
        <is>
          <t>Y</t>
        </is>
      </c>
      <c r="R536" s="75" t="n"/>
      <c r="S536" s="75" t="n"/>
      <c r="T536" s="76" t="n"/>
      <c r="U536" s="75" t="n"/>
      <c r="V536" s="76" t="n"/>
      <c r="Y536" s="153" t="inlineStr">
        <is>
          <t>Global Inv - Mar 2026</t>
        </is>
      </c>
      <c r="Z536" s="153" t="inlineStr">
        <is>
          <t>UV/Vis spectroscopy instrument control and analysis software</t>
        </is>
      </c>
      <c r="AA536" s="153" t="inlineStr">
        <is>
          <t>Clinical Manufacturing Process</t>
        </is>
      </c>
      <c r="AB536" s="121">
        <f>VLOOKUP(AA536,CategorySummaryTable[],2,FALSE)</f>
        <v/>
      </c>
    </row>
    <row r="537" ht="80" customHeight="1" s="142">
      <c r="B537" s="77" t="inlineStr">
        <is>
          <t>Vaisala</t>
        </is>
      </c>
      <c r="C537" s="75" t="n"/>
      <c r="D537" s="75" t="inlineStr">
        <is>
          <t>Unknown</t>
        </is>
      </c>
      <c r="E537" s="75" t="inlineStr">
        <is>
          <t>Vaisala</t>
        </is>
      </c>
      <c r="F537" s="75" t="n"/>
      <c r="G537" s="75" t="n"/>
      <c r="H537" s="75" t="inlineStr">
        <is>
          <t>Puerto Rico</t>
        </is>
      </c>
      <c r="I537" s="75" t="inlineStr">
        <is>
          <t>Yes</t>
        </is>
      </c>
      <c r="J537" s="75" t="n"/>
      <c r="K537" s="75" t="inlineStr">
        <is>
          <t>On Premises (Client/Server)</t>
        </is>
      </c>
      <c r="L537" s="75" t="n"/>
      <c r="M537" s="75" t="n"/>
      <c r="N537" s="75" t="n"/>
      <c r="O537" s="75" t="n"/>
      <c r="P537" s="75" t="n"/>
      <c r="Q537" s="75" t="inlineStr">
        <is>
          <t>Y</t>
        </is>
      </c>
      <c r="R537" s="75" t="n"/>
      <c r="S537" s="75" t="n"/>
      <c r="T537" s="76" t="n"/>
      <c r="U537" s="75" t="n"/>
      <c r="V537" s="76" t="n"/>
      <c r="Y537" s="153" t="inlineStr">
        <is>
          <t>Global Inv - Mar 2026</t>
        </is>
      </c>
      <c r="Z537" s="153" t="inlineStr">
        <is>
          <t>Environmental measurement instruments and monitoring systems</t>
        </is>
      </c>
      <c r="AA537" s="153" t="inlineStr">
        <is>
          <t>Clinical Manufacturing Process</t>
        </is>
      </c>
      <c r="AB537" s="121">
        <f>VLOOKUP(AA537,CategorySummaryTable[],2,FALSE)</f>
        <v/>
      </c>
    </row>
    <row r="538" ht="80" customHeight="1" s="142">
      <c r="B538" s="90" t="inlineStr">
        <is>
          <t>ValGenesis Inc.</t>
        </is>
      </c>
      <c r="C538" s="75" t="inlineStr">
        <is>
          <t>System validation lifecycle management tool. Dev site: https://myapps.microsoft.com/signin/f0865d3a-f91d-4c2f-8447-0153dd9f90a2?tenantId=e63f94e5-a2f4-42ce-bdd4-41492af7f38c</t>
        </is>
      </c>
      <c r="D538" s="75" t="inlineStr">
        <is>
          <t>Active</t>
        </is>
      </c>
      <c r="E538" s="75" t="inlineStr">
        <is>
          <t>ValGenesis Inc.</t>
        </is>
      </c>
      <c r="F538" s="75" t="n"/>
      <c r="G538" s="75" t="n"/>
      <c r="H538" s="75" t="inlineStr">
        <is>
          <t>Corporate</t>
        </is>
      </c>
      <c r="I538" s="75" t="n"/>
      <c r="J538" s="75" t="inlineStr">
        <is>
          <t>Azure</t>
        </is>
      </c>
      <c r="K538" s="75" t="inlineStr">
        <is>
          <t>Web</t>
        </is>
      </c>
      <c r="L538" s="75" t="n"/>
      <c r="M538" s="75" t="inlineStr">
        <is>
          <t>Yes</t>
        </is>
      </c>
      <c r="N538" s="75" t="n"/>
      <c r="O538" s="75" t="n"/>
      <c r="P538" s="75" t="inlineStr">
        <is>
          <t>Integrated with SSO, so SSO authentication is required to use the application.</t>
        </is>
      </c>
      <c r="Q538" s="75" t="inlineStr">
        <is>
          <t>Yes</t>
        </is>
      </c>
      <c r="R538" s="75" t="n"/>
      <c r="S538" s="75" t="inlineStr">
        <is>
          <t>Jennifer Zaleski</t>
        </is>
      </c>
      <c r="T538" s="76" t="n">
        <v>44652</v>
      </c>
      <c r="U538" s="75" t="inlineStr">
        <is>
          <t>April 1, 2022 via Jennifer Zaleski</t>
        </is>
      </c>
      <c r="V538" s="76" t="n">
        <v>44652</v>
      </c>
      <c r="Y538" s="153" t="inlineStr">
        <is>
          <t>Global Inv - Mar 2026</t>
        </is>
      </c>
      <c r="Z538" s="153" t="inlineStr">
        <is>
          <t>Validation lifecycle management software for regulated industries</t>
        </is>
      </c>
      <c r="AA538" s="153" t="inlineStr">
        <is>
          <t>Quality and Validation</t>
        </is>
      </c>
      <c r="AB538" s="121">
        <f>VLOOKUP(AA538,CategorySummaryTable[],2,FALSE)</f>
        <v/>
      </c>
    </row>
    <row r="539" ht="64" customHeight="1" s="142">
      <c r="B539" s="80" t="inlineStr">
        <is>
          <t>ValiMail</t>
        </is>
      </c>
      <c r="C539" s="75" t="n"/>
      <c r="D539" s="75" t="inlineStr">
        <is>
          <t>Unknown</t>
        </is>
      </c>
      <c r="E539" s="75" t="n"/>
      <c r="F539" s="75" t="n"/>
      <c r="G539" s="75" t="n"/>
      <c r="H539" s="75" t="n"/>
      <c r="I539" s="75" t="n"/>
      <c r="J539" s="75" t="inlineStr">
        <is>
          <t>Other</t>
        </is>
      </c>
      <c r="K539" s="75" t="n"/>
      <c r="L539" s="75" t="n"/>
      <c r="M539" s="75" t="n"/>
      <c r="N539" s="75" t="n"/>
      <c r="O539" s="75" t="n"/>
      <c r="P539" s="75" t="n"/>
      <c r="Q539" s="75" t="n"/>
      <c r="R539" s="75" t="n"/>
      <c r="S539" s="75" t="n"/>
      <c r="T539" s="76" t="n"/>
      <c r="U539" s="75" t="n"/>
      <c r="V539" s="76" t="n"/>
      <c r="Y539" s="153" t="inlineStr">
        <is>
          <t>Global Inv - Mar 2026</t>
        </is>
      </c>
      <c r="Z539" s="153" t="inlineStr">
        <is>
          <t>Email authentication (DMARC/SPF/DKIM) software</t>
        </is>
      </c>
      <c r="AA539" s="153" t="inlineStr">
        <is>
          <t>Cyber Security</t>
        </is>
      </c>
      <c r="AB539" s="121">
        <f>VLOOKUP(AA539,CategorySummaryTable[],2,FALSE)</f>
        <v/>
      </c>
    </row>
    <row r="540" ht="64" customHeight="1" s="142">
      <c r="B540" s="91" t="inlineStr">
        <is>
          <t>Varonis Datadvantage</t>
        </is>
      </c>
      <c r="C540" s="75" t="inlineStr">
        <is>
          <t>Used for data governance on managed file servers</t>
        </is>
      </c>
      <c r="D540" s="75" t="inlineStr">
        <is>
          <t>Active</t>
        </is>
      </c>
      <c r="E540" s="75" t="inlineStr">
        <is>
          <t>Varonis</t>
        </is>
      </c>
      <c r="F540" s="75" t="n"/>
      <c r="G540" s="75" t="inlineStr">
        <is>
          <t>Enterprise</t>
        </is>
      </c>
      <c r="H540" s="75" t="n"/>
      <c r="I540" s="75" t="inlineStr">
        <is>
          <t>Yes</t>
        </is>
      </c>
      <c r="J540" s="75" t="n"/>
      <c r="K540" s="75" t="inlineStr">
        <is>
          <t>On Premises (Client/Server)</t>
        </is>
      </c>
      <c r="L540" s="75" t="n"/>
      <c r="M540" s="75" t="inlineStr">
        <is>
          <t>No</t>
        </is>
      </c>
      <c r="N540" s="75" t="n"/>
      <c r="O540" s="75" t="n"/>
      <c r="P540" s="75" t="n"/>
      <c r="Q540" s="75" t="inlineStr">
        <is>
          <t>No</t>
        </is>
      </c>
      <c r="R540" s="75" t="n"/>
      <c r="S540" s="75" t="inlineStr">
        <is>
          <t>Trevor Very</t>
        </is>
      </c>
      <c r="T540" s="76" t="n">
        <v>44545</v>
      </c>
      <c r="U540" s="75" t="inlineStr">
        <is>
          <t>Dec 15, 2021 via Trevor Very</t>
        </is>
      </c>
      <c r="V540" s="76" t="n">
        <v>44545</v>
      </c>
      <c r="Y540" s="153" t="inlineStr">
        <is>
          <t>Global Inv - Mar 2026</t>
        </is>
      </c>
      <c r="Z540" s="153" t="inlineStr">
        <is>
          <t>Data security, governance, and file access auditing software</t>
        </is>
      </c>
      <c r="AA540" s="153" t="inlineStr">
        <is>
          <t>Cyber Security</t>
        </is>
      </c>
      <c r="AB540" s="121">
        <f>VLOOKUP(AA540,CategorySummaryTable[],2,FALSE)</f>
        <v/>
      </c>
    </row>
    <row r="541" ht="96" customHeight="1" s="142">
      <c r="B541" s="82" t="inlineStr">
        <is>
          <t>Veeva (ETF, CTMS, and Sparks)</t>
        </is>
      </c>
      <c r="C541" s="75" t="inlineStr">
        <is>
          <t>Veeva is a Saas based application that is used to manage clinical trials. Vault eTMF/CTMS/Payments
- production Vault: 8110070MB
- sandbox Vaults: 201908MB
Vault CDMS
- production Vault: 109MB
- sandbox Vaults: 176374MB</t>
        </is>
      </c>
      <c r="D541" s="75" t="inlineStr">
        <is>
          <t>Active</t>
        </is>
      </c>
      <c r="E541" s="75" t="inlineStr">
        <is>
          <t>Veeva</t>
        </is>
      </c>
      <c r="F541" s="75" t="n"/>
      <c r="G541" s="75" t="n"/>
      <c r="H541" s="75" t="inlineStr">
        <is>
          <t>Plainsboro</t>
        </is>
      </c>
      <c r="I541" s="75" t="n"/>
      <c r="J541" s="75" t="inlineStr">
        <is>
          <t>Other</t>
        </is>
      </c>
      <c r="K541" s="75" t="inlineStr">
        <is>
          <t>Saas</t>
        </is>
      </c>
      <c r="L541" s="75" t="n"/>
      <c r="M541" s="75" t="n"/>
      <c r="N541" s="75" t="n"/>
      <c r="O541" s="75" t="n"/>
      <c r="P541" s="75" t="n"/>
      <c r="Q541" s="75" t="inlineStr">
        <is>
          <t>Yes</t>
        </is>
      </c>
      <c r="R541" s="75" t="n">
        <v>4</v>
      </c>
      <c r="S541" s="75" t="n"/>
      <c r="T541" s="76" t="n"/>
      <c r="U541" s="75" t="n"/>
      <c r="V541" s="76" t="n"/>
      <c r="W541" s="71" t="inlineStr">
        <is>
          <t>Veeva platforms used by Clinical Affair. Some additional modules were deployed: CDMS (Clinical Data Management) and RTSM (Randomization and Trial Supply Management)</t>
        </is>
      </c>
      <c r="Y541" s="153" t="inlineStr">
        <is>
          <t>Global Inv - Mar 2026</t>
        </is>
      </c>
      <c r="Z541" s="153" t="inlineStr">
        <is>
          <t>Cloud-based clinical trial and content management platform (eTMF/CTMS)</t>
        </is>
      </c>
      <c r="AA541" s="153" t="inlineStr">
        <is>
          <t>Regulatory Affairs</t>
        </is>
      </c>
      <c r="AB541" s="121">
        <f>VLOOKUP(AA541,CategorySummaryTable[],2,FALSE)</f>
        <v/>
      </c>
    </row>
    <row r="542" ht="80" customHeight="1" s="142">
      <c r="B542" s="77" t="inlineStr">
        <is>
          <t>Vegas</t>
        </is>
      </c>
      <c r="C542" s="75" t="n"/>
      <c r="D542" s="75" t="inlineStr">
        <is>
          <t>Unknown</t>
        </is>
      </c>
      <c r="E542" s="88" t="n"/>
      <c r="F542" s="75" t="n"/>
      <c r="G542" s="75" t="n"/>
      <c r="H542" s="75" t="inlineStr">
        <is>
          <t>Saint Paul</t>
        </is>
      </c>
      <c r="I542" s="75" t="n"/>
      <c r="J542" s="75" t="n"/>
      <c r="K542" s="75" t="inlineStr">
        <is>
          <t>Desktop</t>
        </is>
      </c>
      <c r="L542" s="75" t="n"/>
      <c r="M542" s="75" t="n"/>
      <c r="N542" s="75" t="n"/>
      <c r="O542" s="75" t="n"/>
      <c r="P542" s="75" t="n"/>
      <c r="Q542" s="75" t="n"/>
      <c r="R542" s="75" t="n"/>
      <c r="S542" s="75" t="n"/>
      <c r="T542" s="76" t="n"/>
      <c r="U542" s="75" t="n"/>
      <c r="V542" s="76" t="n"/>
      <c r="Y542" s="153" t="inlineStr">
        <is>
          <t>Global Inv - Mar 2026</t>
        </is>
      </c>
      <c r="Z542" s="153" t="inlineStr">
        <is>
          <t>NA</t>
        </is>
      </c>
      <c r="AA542" s="153" t="inlineStr">
        <is>
          <t>Marketing</t>
        </is>
      </c>
      <c r="AB542" s="121">
        <f>VLOOKUP(AA542,CategorySummaryTable[],2,FALSE)</f>
        <v/>
      </c>
    </row>
    <row r="543" ht="96" customHeight="1" s="142">
      <c r="B543" s="100" t="inlineStr">
        <is>
          <t>Veeva RIMS (Regulatory Information Management Systems)</t>
        </is>
      </c>
      <c r="C543" s="75" t="inlineStr">
        <is>
          <t>Regulatory information</t>
        </is>
      </c>
      <c r="D543" s="75" t="inlineStr">
        <is>
          <t>Active</t>
        </is>
      </c>
      <c r="E543" s="75" t="inlineStr">
        <is>
          <t>Viva</t>
        </is>
      </c>
      <c r="F543" s="75" t="n"/>
      <c r="G543" s="75" t="n"/>
      <c r="H543" s="75" t="inlineStr">
        <is>
          <t>Corporate &amp; division</t>
        </is>
      </c>
      <c r="I543" s="75" t="n"/>
      <c r="J543" s="75" t="inlineStr">
        <is>
          <t>Other</t>
        </is>
      </c>
      <c r="K543" s="75" t="inlineStr">
        <is>
          <t>Cloud</t>
        </is>
      </c>
      <c r="L543" s="75" t="n"/>
      <c r="M543" s="75" t="inlineStr">
        <is>
          <t>Yes</t>
        </is>
      </c>
      <c r="N543" s="75" t="n"/>
      <c r="O543" s="75" t="n"/>
      <c r="P543" s="75" t="inlineStr">
        <is>
          <t>T2?</t>
        </is>
      </c>
      <c r="Q543" s="75" t="inlineStr">
        <is>
          <t>In progress</t>
        </is>
      </c>
      <c r="R543" s="75" t="n"/>
      <c r="S543" s="75" t="inlineStr">
        <is>
          <t>John O'Callaghan</t>
        </is>
      </c>
      <c r="T543" s="76" t="n">
        <v>44658</v>
      </c>
      <c r="U543" s="75" t="inlineStr">
        <is>
          <t>April 7, 2022 via John O'Callaghan</t>
        </is>
      </c>
      <c r="V543" s="76" t="n">
        <v>44658</v>
      </c>
      <c r="Y543" s="153" t="inlineStr">
        <is>
          <t>Global Inv - Mar 2026</t>
        </is>
      </c>
      <c r="Z543" s="153" t="inlineStr">
        <is>
          <t>Regulatory information management system (RIMS) software</t>
        </is>
      </c>
      <c r="AA543" s="153" t="inlineStr">
        <is>
          <t>Regulatory Affairs</t>
        </is>
      </c>
      <c r="AB543" s="121">
        <f>VLOOKUP(AA543,CategorySummaryTable[],2,FALSE)</f>
        <v/>
      </c>
    </row>
    <row r="544" ht="80" customHeight="1" s="142">
      <c r="B544" s="77" t="inlineStr">
        <is>
          <t>VLC media player 1.1.8</t>
        </is>
      </c>
      <c r="C544" s="75" t="n"/>
      <c r="D544" s="75" t="inlineStr">
        <is>
          <t>Unknown</t>
        </is>
      </c>
      <c r="E544" s="75" t="inlineStr">
        <is>
          <t>Teklynx</t>
        </is>
      </c>
      <c r="F544" s="75" t="n"/>
      <c r="G544" s="75" t="n"/>
      <c r="H544" s="75" t="inlineStr">
        <is>
          <t>St. Aubin</t>
        </is>
      </c>
      <c r="I544" s="75" t="n"/>
      <c r="J544" s="75" t="n"/>
      <c r="K544" s="75" t="inlineStr">
        <is>
          <t>Desktop</t>
        </is>
      </c>
      <c r="L544" s="75" t="n"/>
      <c r="M544" s="75" t="n"/>
      <c r="N544" s="75" t="n"/>
      <c r="O544" s="75" t="n"/>
      <c r="P544" s="75" t="n"/>
      <c r="Q544" s="75" t="n"/>
      <c r="R544" s="75" t="n"/>
      <c r="S544" s="75" t="n"/>
      <c r="T544" s="76" t="n"/>
      <c r="U544" s="75" t="n"/>
      <c r="V544" s="76" t="n"/>
      <c r="Y544" s="153" t="inlineStr">
        <is>
          <t>Global Inv - Mar 2026</t>
        </is>
      </c>
      <c r="Z544" s="153" t="inlineStr">
        <is>
          <t>Open-source media player software</t>
        </is>
      </c>
      <c r="AA544" s="153" t="inlineStr">
        <is>
          <t>Manufacturing</t>
        </is>
      </c>
      <c r="AB544" s="121">
        <f>VLOOKUP(AA544,CategorySummaryTable[],2,FALSE)</f>
        <v/>
      </c>
    </row>
    <row r="545" ht="64" customHeight="1" s="142">
      <c r="B545" s="77" t="inlineStr">
        <is>
          <t>VMWare</t>
        </is>
      </c>
      <c r="C545" s="75" t="inlineStr">
        <is>
          <t>Manufacturing software in PR</t>
        </is>
      </c>
      <c r="D545" s="75" t="inlineStr">
        <is>
          <t>Unknown</t>
        </is>
      </c>
      <c r="E545" s="75" t="inlineStr">
        <is>
          <t>VMWare</t>
        </is>
      </c>
      <c r="F545" s="75" t="n"/>
      <c r="G545" s="75" t="n"/>
      <c r="H545" s="75" t="inlineStr">
        <is>
          <t>Puerto Rico</t>
        </is>
      </c>
      <c r="I545" s="75" t="inlineStr">
        <is>
          <t>Yes</t>
        </is>
      </c>
      <c r="J545" s="75" t="n"/>
      <c r="K545" s="75" t="inlineStr">
        <is>
          <t>On Premises (Client/Server)</t>
        </is>
      </c>
      <c r="L545" s="75" t="n"/>
      <c r="M545" s="75" t="n"/>
      <c r="N545" s="75" t="n"/>
      <c r="O545" s="75" t="n"/>
      <c r="P545" s="75" t="n"/>
      <c r="Q545" s="75" t="inlineStr">
        <is>
          <t>Yes</t>
        </is>
      </c>
      <c r="R545" s="75" t="n">
        <v>3</v>
      </c>
      <c r="S545" s="75" t="n"/>
      <c r="T545" s="76" t="n"/>
      <c r="U545" s="75" t="n"/>
      <c r="V545" s="76" t="n"/>
      <c r="Y545" s="153" t="inlineStr">
        <is>
          <t>Global Inv - Mar 2026</t>
        </is>
      </c>
      <c r="Z545" s="153" t="inlineStr">
        <is>
          <t>Server virtualization software</t>
        </is>
      </c>
      <c r="AA545" s="153" t="inlineStr">
        <is>
          <t>IT Operations</t>
        </is>
      </c>
      <c r="AB545" s="121">
        <f>VLOOKUP(AA545,CategorySummaryTable[],2,FALSE)</f>
        <v/>
      </c>
    </row>
    <row r="546" ht="80" customHeight="1" s="142">
      <c r="B546" s="82" t="inlineStr">
        <is>
          <t>WalkMe Application</t>
        </is>
      </c>
      <c r="C546" s="75" t="inlineStr">
        <is>
          <t>WalkMe is a tool that helps Users navigate features of web based services (ie Salesforce.com). Would like to use it for Salesforce</t>
        </is>
      </c>
      <c r="D546" s="75" t="inlineStr">
        <is>
          <t>Unknown</t>
        </is>
      </c>
      <c r="E546" s="75" t="inlineStr">
        <is>
          <t>SalesForce</t>
        </is>
      </c>
      <c r="F546" s="75" t="n"/>
      <c r="G546" s="75" t="inlineStr">
        <is>
          <t>Enterprise</t>
        </is>
      </c>
      <c r="H546" s="75" t="n"/>
      <c r="I546" s="75" t="n"/>
      <c r="J546" s="75" t="inlineStr">
        <is>
          <t>Other</t>
        </is>
      </c>
      <c r="K546" s="75" t="inlineStr">
        <is>
          <t>SaaS</t>
        </is>
      </c>
      <c r="L546" s="75" t="n"/>
      <c r="M546" s="75" t="n"/>
      <c r="N546" s="75" t="n"/>
      <c r="O546" s="75" t="n"/>
      <c r="P546" s="75" t="n"/>
      <c r="Q546" s="75" t="inlineStr">
        <is>
          <t>No</t>
        </is>
      </c>
      <c r="R546" s="75" t="n"/>
      <c r="S546" s="104" t="n"/>
      <c r="T546" s="76" t="n"/>
      <c r="U546" s="104" t="n"/>
      <c r="V546" s="76" t="n"/>
      <c r="Y546" s="153" t="inlineStr">
        <is>
          <t>Global Inv - Mar 2026</t>
        </is>
      </c>
      <c r="Z546" s="153" t="inlineStr">
        <is>
          <t>Digital adoption/guidance overlay software for web applications</t>
        </is>
      </c>
      <c r="AA546" s="153" t="inlineStr">
        <is>
          <t>Sales</t>
        </is>
      </c>
      <c r="AB546" s="121">
        <f>VLOOKUP(AA546,CategorySummaryTable[],2,FALSE)</f>
        <v/>
      </c>
    </row>
    <row r="547" ht="80" customHeight="1" s="142">
      <c r="B547" s="77" t="inlineStr">
        <is>
          <t>Water Stystem</t>
        </is>
      </c>
      <c r="C547" s="75" t="inlineStr">
        <is>
          <t>Manufacturing software in PR</t>
        </is>
      </c>
      <c r="D547" s="75" t="inlineStr">
        <is>
          <t>Unknown</t>
        </is>
      </c>
      <c r="E547" s="75" t="inlineStr">
        <is>
          <t>Water</t>
        </is>
      </c>
      <c r="F547" s="75" t="n"/>
      <c r="G547" s="75" t="n"/>
      <c r="H547" s="75" t="inlineStr">
        <is>
          <t>Puerto Rico</t>
        </is>
      </c>
      <c r="I547" s="75" t="inlineStr">
        <is>
          <t>Yes</t>
        </is>
      </c>
      <c r="J547" s="75" t="n"/>
      <c r="K547" s="75" t="n"/>
      <c r="L547" s="75" t="n"/>
      <c r="M547" s="75" t="n"/>
      <c r="N547" s="75" t="n"/>
      <c r="O547" s="75" t="n"/>
      <c r="P547" s="75" t="n"/>
      <c r="Q547" s="75" t="inlineStr">
        <is>
          <t>Y</t>
        </is>
      </c>
      <c r="R547" s="75" t="n"/>
      <c r="S547" s="75" t="n"/>
      <c r="T547" s="76" t="n"/>
      <c r="U547" s="75" t="n"/>
      <c r="V547" s="76" t="n"/>
      <c r="Y547" s="153" t="inlineStr">
        <is>
          <t>Global Inv - Mar 2026</t>
        </is>
      </c>
      <c r="Z547" s="153" t="inlineStr">
        <is>
          <t>NA</t>
        </is>
      </c>
      <c r="AA547" s="153" t="inlineStr">
        <is>
          <t>Manufacturing</t>
        </is>
      </c>
      <c r="AB547" s="121">
        <f>VLOOKUP(AA547,CategorySummaryTable[],2,FALSE)</f>
        <v/>
      </c>
    </row>
    <row r="548" ht="64" customHeight="1" s="142">
      <c r="B548" s="77" t="inlineStr">
        <is>
          <t>WDS - Windows Distribution Server</t>
        </is>
      </c>
      <c r="C548" s="75" t="inlineStr">
        <is>
          <t>Windows Deployment Server - Used to build workstations for Integra.</t>
        </is>
      </c>
      <c r="D548" s="75" t="inlineStr">
        <is>
          <t>Unknown</t>
        </is>
      </c>
      <c r="E548" s="75" t="n"/>
      <c r="F548" s="75" t="n"/>
      <c r="G548" s="75" t="n"/>
      <c r="H548" s="75" t="n"/>
      <c r="I548" s="75" t="inlineStr">
        <is>
          <t>Yes</t>
        </is>
      </c>
      <c r="J548" s="75" t="n"/>
      <c r="K548" s="75" t="inlineStr">
        <is>
          <t>On Premises (Client/Server)</t>
        </is>
      </c>
      <c r="L548" s="75" t="n"/>
      <c r="M548" s="75" t="n"/>
      <c r="N548" s="75" t="n"/>
      <c r="O548" s="75" t="n"/>
      <c r="P548" s="75" t="n"/>
      <c r="Q548" s="75" t="inlineStr">
        <is>
          <t>No</t>
        </is>
      </c>
      <c r="R548" s="75" t="n"/>
      <c r="S548" s="75" t="n"/>
      <c r="T548" s="76" t="n"/>
      <c r="U548" s="75" t="inlineStr">
        <is>
          <t>server?</t>
        </is>
      </c>
      <c r="V548" s="76" t="n"/>
      <c r="Y548" s="153" t="inlineStr">
        <is>
          <t>Global Inv - Mar 2026</t>
        </is>
      </c>
      <c r="Z548" s="153" t="inlineStr">
        <is>
          <t>Windows Deployment Services for OS imaging/deployment</t>
        </is>
      </c>
      <c r="AA548" s="153" t="inlineStr">
        <is>
          <t>IT Operations</t>
        </is>
      </c>
      <c r="AB548" s="121">
        <f>VLOOKUP(AA548,CategorySummaryTable[],2,FALSE)</f>
        <v/>
      </c>
    </row>
    <row r="549" ht="64" customHeight="1" s="142">
      <c r="B549" s="80" t="inlineStr">
        <is>
          <t>WDS - Windows Distribution Server</t>
        </is>
      </c>
      <c r="C549" s="75" t="inlineStr">
        <is>
          <t>Might retire by Q2 2019</t>
        </is>
      </c>
      <c r="D549" s="75" t="inlineStr">
        <is>
          <t>Unknown</t>
        </is>
      </c>
      <c r="E549" s="75" t="n"/>
      <c r="F549" s="75" t="n"/>
      <c r="G549" s="75" t="inlineStr">
        <is>
          <t>Enterprise</t>
        </is>
      </c>
      <c r="H549" s="75" t="n"/>
      <c r="I549" s="75" t="inlineStr">
        <is>
          <t>Yes</t>
        </is>
      </c>
      <c r="J549" s="75" t="n"/>
      <c r="K549" s="75" t="n"/>
      <c r="L549" s="75" t="n"/>
      <c r="M549" s="75" t="n"/>
      <c r="N549" s="75" t="n"/>
      <c r="O549" s="75" t="n"/>
      <c r="P549" s="75" t="n"/>
      <c r="Q549" s="75" t="inlineStr">
        <is>
          <t>No</t>
        </is>
      </c>
      <c r="R549" s="75" t="n"/>
      <c r="S549" s="75" t="n"/>
      <c r="T549" s="76" t="n"/>
      <c r="U549" s="75" t="inlineStr">
        <is>
          <t>server?</t>
        </is>
      </c>
      <c r="V549" s="76" t="n"/>
      <c r="Y549" s="153" t="inlineStr">
        <is>
          <t>Global Inv - Mar 2026</t>
        </is>
      </c>
      <c r="Z549" s="153" t="inlineStr">
        <is>
          <t>Windows Deployment Services for OS imaging/deployment</t>
        </is>
      </c>
      <c r="AA549" s="153" t="inlineStr">
        <is>
          <t>IT Operations</t>
        </is>
      </c>
      <c r="AB549" s="121">
        <f>VLOOKUP(AA549,CategorySummaryTable[],2,FALSE)</f>
        <v/>
      </c>
    </row>
    <row r="550" ht="80" customHeight="1" s="142">
      <c r="B550" s="82" t="inlineStr">
        <is>
          <t>Web Filings</t>
        </is>
      </c>
      <c r="C550" s="75" t="inlineStr">
        <is>
          <t>Workiva?</t>
        </is>
      </c>
      <c r="D550" s="75" t="inlineStr">
        <is>
          <t>Unknown</t>
        </is>
      </c>
      <c r="E550" s="75" t="inlineStr">
        <is>
          <t>Web? Workiva?</t>
        </is>
      </c>
      <c r="F550" s="75" t="n"/>
      <c r="G550" s="75" t="n"/>
      <c r="H550" s="75" t="inlineStr">
        <is>
          <t>Plainsboro Corp</t>
        </is>
      </c>
      <c r="I550" s="75" t="n"/>
      <c r="J550" s="75" t="inlineStr">
        <is>
          <t>Other</t>
        </is>
      </c>
      <c r="K550" s="75" t="inlineStr">
        <is>
          <t>SaaS</t>
        </is>
      </c>
      <c r="L550" s="75" t="n"/>
      <c r="M550" s="75" t="n"/>
      <c r="N550" s="75" t="n"/>
      <c r="O550" s="75" t="n"/>
      <c r="P550" s="75" t="n"/>
      <c r="Q550" s="75" t="inlineStr">
        <is>
          <t>No</t>
        </is>
      </c>
      <c r="R550" s="75" t="n"/>
      <c r="S550" s="75" t="n"/>
      <c r="T550" s="76" t="n"/>
      <c r="U550" s="75" t="n"/>
      <c r="V550" s="76" t="n"/>
      <c r="Y550" s="153" t="inlineStr">
        <is>
          <t>Global Inv - Mar 2026</t>
        </is>
      </c>
      <c r="Z550" s="153" t="inlineStr">
        <is>
          <t>Cloud-based SEC and financial reporting software</t>
        </is>
      </c>
      <c r="AA550" s="153" t="inlineStr">
        <is>
          <t>Finance</t>
        </is>
      </c>
      <c r="AB550" s="121">
        <f>VLOOKUP(AA550,CategorySummaryTable[],2,FALSE)</f>
        <v/>
      </c>
    </row>
    <row r="551" ht="80" customHeight="1" s="142">
      <c r="B551" s="57" t="inlineStr">
        <is>
          <t>WinCNC 2000</t>
        </is>
      </c>
      <c r="C551" s="75" t="inlineStr">
        <is>
          <t>MFG part editor</t>
        </is>
      </c>
      <c r="D551" s="75" t="inlineStr">
        <is>
          <t>Active</t>
        </is>
      </c>
      <c r="E551" s="75" t="inlineStr">
        <is>
          <t>WinCNC</t>
        </is>
      </c>
      <c r="F551" s="75" t="n"/>
      <c r="G551" s="75" t="n"/>
      <c r="H551" s="75" t="inlineStr">
        <is>
          <t>Cincinnati</t>
        </is>
      </c>
      <c r="I551" s="75" t="inlineStr">
        <is>
          <t>Yes</t>
        </is>
      </c>
      <c r="J551" s="75" t="n"/>
      <c r="K551" s="75" t="inlineStr">
        <is>
          <t>Desktop</t>
        </is>
      </c>
      <c r="L551" s="75" t="n"/>
      <c r="M551" s="75" t="n"/>
      <c r="N551" s="75" t="n"/>
      <c r="O551" s="75" t="n"/>
      <c r="P551" s="75" t="n"/>
      <c r="Q551" s="75" t="inlineStr">
        <is>
          <t>N</t>
        </is>
      </c>
      <c r="R551" s="75" t="n"/>
      <c r="S551" s="75" t="inlineStr">
        <is>
          <t>Michael Patterson</t>
        </is>
      </c>
      <c r="T551" s="76" t="n">
        <v>44516</v>
      </c>
      <c r="U551" s="75" t="inlineStr">
        <is>
          <t>Nov 16, 2021 via Michael Patterson- check Status</t>
        </is>
      </c>
      <c r="V551" s="76" t="n">
        <v>44516</v>
      </c>
      <c r="Y551" s="153" t="inlineStr">
        <is>
          <t>Global Inv - Mar 2026</t>
        </is>
      </c>
      <c r="Z551" s="153" t="inlineStr">
        <is>
          <t>CNC machine control/programming software</t>
        </is>
      </c>
      <c r="AA551" s="153" t="inlineStr">
        <is>
          <t>Manufacturing</t>
        </is>
      </c>
      <c r="AB551" s="121">
        <f>VLOOKUP(AA551,CategorySummaryTable[],2,FALSE)</f>
        <v/>
      </c>
    </row>
    <row r="552" ht="64" customHeight="1" s="142">
      <c r="B552" s="77" t="inlineStr">
        <is>
          <t>Windchill (PTC, PDMLink)</t>
        </is>
      </c>
      <c r="C552" s="75" t="n"/>
      <c r="D552" s="75" t="inlineStr">
        <is>
          <t>Unknown</t>
        </is>
      </c>
      <c r="E552" s="75" t="inlineStr">
        <is>
          <t>PTC</t>
        </is>
      </c>
      <c r="F552" s="75" t="n"/>
      <c r="G552" s="75" t="n"/>
      <c r="H552" s="75" t="inlineStr">
        <is>
          <t>Tullamore, Billerica, Austin</t>
        </is>
      </c>
      <c r="I552" s="75" t="inlineStr">
        <is>
          <t>Yes</t>
        </is>
      </c>
      <c r="J552" s="75" t="n"/>
      <c r="K552" s="75" t="inlineStr">
        <is>
          <t>On Premises (Client/Server)</t>
        </is>
      </c>
      <c r="L552" s="75" t="n"/>
      <c r="M552" s="75" t="n"/>
      <c r="N552" s="75" t="n"/>
      <c r="O552" s="75" t="n"/>
      <c r="P552" s="75" t="n"/>
      <c r="Q552" s="75" t="inlineStr">
        <is>
          <t>NA</t>
        </is>
      </c>
      <c r="R552" s="75" t="n"/>
      <c r="S552" s="75" t="n"/>
      <c r="T552" s="76" t="n"/>
      <c r="U552" s="75" t="n"/>
      <c r="V552" s="76" t="n"/>
      <c r="Y552" s="153" t="inlineStr">
        <is>
          <t>Global Inv - Mar 2026</t>
        </is>
      </c>
      <c r="Z552" s="153" t="inlineStr">
        <is>
          <t>Product lifecycle management (PLM) and CAD data management software</t>
        </is>
      </c>
      <c r="AA552" s="153" t="inlineStr">
        <is>
          <t>Engineering</t>
        </is>
      </c>
      <c r="AB552" s="121">
        <f>VLOOKUP(AA552,CategorySummaryTable[],2,FALSE)</f>
        <v/>
      </c>
    </row>
    <row r="553" ht="64" customHeight="1" s="142">
      <c r="B553" s="77" t="inlineStr">
        <is>
          <t>Windows Update Server (WSUS)</t>
        </is>
      </c>
      <c r="C553" s="75" t="n"/>
      <c r="D553" s="75" t="inlineStr">
        <is>
          <t>Unknown</t>
        </is>
      </c>
      <c r="E553" s="75" t="n"/>
      <c r="F553" s="75" t="n"/>
      <c r="G553" s="75" t="n"/>
      <c r="H553" s="75" t="n"/>
      <c r="I553" s="75" t="inlineStr">
        <is>
          <t>Yes</t>
        </is>
      </c>
      <c r="J553" s="75" t="n"/>
      <c r="K553" s="75" t="inlineStr">
        <is>
          <t>On Premises (Client/Server)</t>
        </is>
      </c>
      <c r="L553" s="75" t="n"/>
      <c r="M553" s="75" t="n"/>
      <c r="N553" s="75" t="n"/>
      <c r="O553" s="75" t="n"/>
      <c r="P553" s="75" t="n"/>
      <c r="Q553" s="75" t="inlineStr">
        <is>
          <t>No</t>
        </is>
      </c>
      <c r="R553" s="75" t="n"/>
      <c r="S553" s="75" t="n"/>
      <c r="T553" s="76" t="n"/>
      <c r="U553" s="75" t="inlineStr">
        <is>
          <t>server?</t>
        </is>
      </c>
      <c r="V553" s="76" t="n"/>
      <c r="Y553" s="153" t="inlineStr">
        <is>
          <t>Global Inv - Mar 2026</t>
        </is>
      </c>
      <c r="Z553" s="153" t="inlineStr">
        <is>
          <t>Windows Server Update Services (patch management)</t>
        </is>
      </c>
      <c r="AA553" s="153" t="inlineStr">
        <is>
          <t>IT Operations</t>
        </is>
      </c>
      <c r="AB553" s="121">
        <f>VLOOKUP(AA553,CategorySummaryTable[],2,FALSE)</f>
        <v/>
      </c>
    </row>
    <row r="554" ht="64" customHeight="1" s="142">
      <c r="B554" s="80" t="inlineStr">
        <is>
          <t>Windows Update Server (WSUS)</t>
        </is>
      </c>
      <c r="C554" s="75" t="inlineStr">
        <is>
          <t>Minimum impact during the weekend.</t>
        </is>
      </c>
      <c r="D554" s="75" t="inlineStr">
        <is>
          <t>Unknown</t>
        </is>
      </c>
      <c r="E554" s="75" t="n"/>
      <c r="F554" s="75" t="n"/>
      <c r="G554" s="75" t="inlineStr">
        <is>
          <t>Enterprise</t>
        </is>
      </c>
      <c r="H554" s="75" t="n"/>
      <c r="I554" s="75" t="inlineStr">
        <is>
          <t>Yes</t>
        </is>
      </c>
      <c r="J554" s="75" t="n"/>
      <c r="K554" s="75" t="n"/>
      <c r="L554" s="75" t="n"/>
      <c r="M554" s="75" t="n"/>
      <c r="N554" s="75" t="n"/>
      <c r="O554" s="75" t="n"/>
      <c r="P554" s="75" t="n"/>
      <c r="Q554" s="75" t="inlineStr">
        <is>
          <t>No</t>
        </is>
      </c>
      <c r="R554" s="75" t="n"/>
      <c r="S554" s="75" t="n"/>
      <c r="T554" s="76" t="n"/>
      <c r="U554" s="75" t="inlineStr">
        <is>
          <t>server?</t>
        </is>
      </c>
      <c r="V554" s="76" t="n"/>
      <c r="Y554" s="153" t="inlineStr">
        <is>
          <t>Global Inv - Mar 2026</t>
        </is>
      </c>
      <c r="Z554" s="153" t="inlineStr">
        <is>
          <t>Windows Server Update Services (patch management)</t>
        </is>
      </c>
      <c r="AA554" s="153" t="inlineStr">
        <is>
          <t>IT Operations</t>
        </is>
      </c>
      <c r="AB554" s="121">
        <f>VLOOKUP(AA554,CategorySummaryTable[],2,FALSE)</f>
        <v/>
      </c>
    </row>
    <row r="555" ht="64" customHeight="1" s="142">
      <c r="B555" s="77" t="inlineStr">
        <is>
          <t>WinDSX</t>
        </is>
      </c>
      <c r="C555" s="75" t="inlineStr">
        <is>
          <t>Dave Croson: "Site used is listed as Plainsboro, Brian had nothing to do with Plainsboro."</t>
        </is>
      </c>
      <c r="D555" s="75" t="inlineStr">
        <is>
          <t>Unknown</t>
        </is>
      </c>
      <c r="E555" s="75" t="inlineStr">
        <is>
          <t>Windsx</t>
        </is>
      </c>
      <c r="F555" s="75" t="n"/>
      <c r="G555" s="75" t="n"/>
      <c r="H555" s="75" t="inlineStr">
        <is>
          <t>All Plainsboro</t>
        </is>
      </c>
      <c r="I555" s="75" t="inlineStr">
        <is>
          <t>Yes</t>
        </is>
      </c>
      <c r="J555" s="75" t="n"/>
      <c r="K555" s="75" t="inlineStr">
        <is>
          <t>On Premises (Client/Server)</t>
        </is>
      </c>
      <c r="L555" s="75" t="n"/>
      <c r="M555" s="75" t="n"/>
      <c r="N555" s="75" t="n"/>
      <c r="O555" s="75" t="n"/>
      <c r="P555" s="75" t="n"/>
      <c r="Q555" s="75" t="inlineStr">
        <is>
          <t>N</t>
        </is>
      </c>
      <c r="R555" s="75" t="n"/>
      <c r="S555" s="75" t="n"/>
      <c r="T555" s="76" t="n"/>
      <c r="U555" s="75" t="n"/>
      <c r="V555" s="76" t="n"/>
      <c r="Y555" s="153" t="inlineStr">
        <is>
          <t>Global Inv - Mar 2026</t>
        </is>
      </c>
      <c r="Z555" s="153" t="inlineStr">
        <is>
          <t>Access control and security/door entry management software</t>
        </is>
      </c>
      <c r="AA555" s="153" t="inlineStr">
        <is>
          <t>IT Operations</t>
        </is>
      </c>
      <c r="AB555" s="121">
        <f>VLOOKUP(AA555,CategorySummaryTable[],2,FALSE)</f>
        <v/>
      </c>
    </row>
    <row r="556" ht="64" customHeight="1" s="142">
      <c r="B556" s="83" t="inlineStr">
        <is>
          <t>WinPak</t>
        </is>
      </c>
      <c r="C556" s="75" t="inlineStr">
        <is>
          <t>Card access system, used in buildings 311/313/315/104.
*Building 103 access is managed by the landlord system.</t>
        </is>
      </c>
      <c r="D556" s="75" t="inlineStr">
        <is>
          <t>Unknown</t>
        </is>
      </c>
      <c r="E556" s="75" t="n"/>
      <c r="F556" s="75" t="n"/>
      <c r="G556" s="75" t="n"/>
      <c r="H556" s="75" t="inlineStr">
        <is>
          <t>Corporate</t>
        </is>
      </c>
      <c r="I556" s="75" t="inlineStr">
        <is>
          <t>Yes</t>
        </is>
      </c>
      <c r="J556" s="75" t="n"/>
      <c r="K556" s="75" t="inlineStr">
        <is>
          <t>On Premises (Client/Server)</t>
        </is>
      </c>
      <c r="L556" s="75" t="n"/>
      <c r="M556" s="75" t="n"/>
      <c r="N556" s="75" t="n"/>
      <c r="O556" s="75" t="n"/>
      <c r="P556" s="75" t="n"/>
      <c r="Q556" s="75" t="inlineStr">
        <is>
          <t>No</t>
        </is>
      </c>
      <c r="R556" s="75" t="n"/>
      <c r="S556" s="75" t="n"/>
      <c r="T556" s="76" t="n"/>
      <c r="U556" s="75" t="n"/>
      <c r="V556" s="76" t="n"/>
      <c r="Y556" s="153" t="inlineStr">
        <is>
          <t>Global Inv - Mar 2026</t>
        </is>
      </c>
      <c r="Z556" s="153" t="inlineStr">
        <is>
          <t>Card-based access control and security management software</t>
        </is>
      </c>
      <c r="AA556" s="153" t="inlineStr">
        <is>
          <t>Cyber Security</t>
        </is>
      </c>
      <c r="AB556" s="121">
        <f>VLOOKUP(AA556,CategorySummaryTable[],2,FALSE)</f>
        <v/>
      </c>
    </row>
    <row r="557" ht="80" customHeight="1" s="142">
      <c r="B557" s="77" t="inlineStr">
        <is>
          <t>WINUV</t>
        </is>
      </c>
      <c r="C557" s="75" t="n"/>
      <c r="D557" s="75" t="inlineStr">
        <is>
          <t>Unknown</t>
        </is>
      </c>
      <c r="E557" s="75" t="inlineStr">
        <is>
          <t>Winuv</t>
        </is>
      </c>
      <c r="F557" s="75" t="n"/>
      <c r="G557" s="75" t="n"/>
      <c r="H557" s="75" t="inlineStr">
        <is>
          <t>Plainsboro 105</t>
        </is>
      </c>
      <c r="I557" s="75" t="n"/>
      <c r="J557" s="75" t="n"/>
      <c r="K557" s="75" t="n"/>
      <c r="L557" s="75" t="n"/>
      <c r="M557" s="75" t="n"/>
      <c r="N557" s="75" t="n"/>
      <c r="O557" s="75" t="n"/>
      <c r="P557" s="75" t="n"/>
      <c r="Q557" s="75" t="inlineStr">
        <is>
          <t>N</t>
        </is>
      </c>
      <c r="R557" s="75" t="n"/>
      <c r="S557" s="75" t="n"/>
      <c r="T557" s="76" t="n"/>
      <c r="U557" s="75" t="n"/>
      <c r="V557" s="76" t="n"/>
      <c r="Y557" s="153" t="inlineStr">
        <is>
          <t>Global Inv - Mar 2026</t>
        </is>
      </c>
      <c r="Z557" s="153" t="inlineStr">
        <is>
          <t>UV-Vis spectrophotometer instrument control and analysis software</t>
        </is>
      </c>
      <c r="AA557" s="153" t="inlineStr">
        <is>
          <t>Clinical Manufacturing Process</t>
        </is>
      </c>
      <c r="AB557" s="121">
        <f>VLOOKUP(AA557,CategorySummaryTable[],2,FALSE)</f>
        <v/>
      </c>
    </row>
    <row r="558" ht="80" customHeight="1" s="142">
      <c r="B558" s="80" t="inlineStr">
        <is>
          <t>Wonderware</t>
        </is>
      </c>
      <c r="C558" s="75" t="inlineStr">
        <is>
          <t>Manafacturing solutions- UK</t>
        </is>
      </c>
      <c r="D558" s="75" t="inlineStr">
        <is>
          <t>Unknown</t>
        </is>
      </c>
      <c r="E558" s="75" t="inlineStr">
        <is>
          <t>AVENA (fka Wonderware)</t>
        </is>
      </c>
      <c r="F558" s="75" t="n"/>
      <c r="G558" s="75" t="n"/>
      <c r="H558" s="75" t="n"/>
      <c r="I558" s="75" t="n"/>
      <c r="J558" s="75" t="inlineStr">
        <is>
          <t>Other</t>
        </is>
      </c>
      <c r="K558" s="75" t="n"/>
      <c r="L558" s="75" t="n"/>
      <c r="M558" s="75" t="n"/>
      <c r="N558" s="75" t="n"/>
      <c r="O558" s="75" t="n"/>
      <c r="P558" s="75" t="n"/>
      <c r="Q558" s="75" t="n"/>
      <c r="R558" s="75" t="n"/>
      <c r="S558" s="75" t="n"/>
      <c r="T558" s="76" t="n"/>
      <c r="U558" s="75" t="n"/>
      <c r="V558" s="76" t="n"/>
      <c r="Y558" s="153" t="inlineStr">
        <is>
          <t>Global Inv - Mar 2026</t>
        </is>
      </c>
      <c r="Z558" s="153" t="inlineStr">
        <is>
          <t>Industrial automation and manufacturing operations (HMI/SCADA) software</t>
        </is>
      </c>
      <c r="AA558" s="153" t="inlineStr">
        <is>
          <t>Manufacturing</t>
        </is>
      </c>
      <c r="AB558" s="121">
        <f>VLOOKUP(AA558,CategorySummaryTable[],2,FALSE)</f>
        <v/>
      </c>
    </row>
    <row r="559" ht="80" customHeight="1" s="142">
      <c r="B559" s="77" t="inlineStr">
        <is>
          <t>WorkForce Time keeping</t>
        </is>
      </c>
      <c r="C559" s="75" t="n"/>
      <c r="D559" s="75" t="inlineStr">
        <is>
          <t>Unknown</t>
        </is>
      </c>
      <c r="E559" s="75" t="inlineStr">
        <is>
          <t>Interboro</t>
        </is>
      </c>
      <c r="F559" s="75" t="n"/>
      <c r="G559" s="75" t="n"/>
      <c r="H559" s="75" t="inlineStr">
        <is>
          <t>Puerto Rico</t>
        </is>
      </c>
      <c r="I559" s="75" t="inlineStr">
        <is>
          <t>Yes</t>
        </is>
      </c>
      <c r="J559" s="75" t="n"/>
      <c r="K559" s="75" t="inlineStr">
        <is>
          <t>On Premises (Client/Server)</t>
        </is>
      </c>
      <c r="L559" s="75" t="n"/>
      <c r="M559" s="75" t="n"/>
      <c r="N559" s="75" t="n"/>
      <c r="O559" s="75" t="n"/>
      <c r="P559" s="75" t="n"/>
      <c r="Q559" s="75" t="inlineStr">
        <is>
          <t>N</t>
        </is>
      </c>
      <c r="R559" s="75" t="n"/>
      <c r="S559" s="75" t="n"/>
      <c r="T559" s="76" t="n"/>
      <c r="U559" s="75" t="n"/>
      <c r="V559" s="76" t="n"/>
      <c r="Y559" s="153" t="inlineStr">
        <is>
          <t>Global Inv - Mar 2026</t>
        </is>
      </c>
      <c r="Z559" s="153" t="inlineStr">
        <is>
          <t>Employee time and attendance/timekeeping software</t>
        </is>
      </c>
      <c r="AA559" s="153" t="inlineStr">
        <is>
          <t>Human Resources and Talent</t>
        </is>
      </c>
      <c r="AB559" s="121">
        <f>VLOOKUP(AA559,CategorySummaryTable[],2,FALSE)</f>
        <v/>
      </c>
    </row>
    <row r="560" ht="80" customHeight="1" s="142">
      <c r="B560" s="80" t="inlineStr">
        <is>
          <t>WorkZone</t>
        </is>
      </c>
      <c r="C560" s="75" t="inlineStr">
        <is>
          <t>project management software</t>
        </is>
      </c>
      <c r="D560" s="75" t="inlineStr">
        <is>
          <t>Unknown</t>
        </is>
      </c>
      <c r="E560" s="75" t="inlineStr">
        <is>
          <t>WorkZone</t>
        </is>
      </c>
      <c r="F560" s="75" t="n"/>
      <c r="G560" s="75" t="n"/>
      <c r="H560" s="75" t="n"/>
      <c r="I560" s="75" t="n"/>
      <c r="J560" s="75" t="inlineStr">
        <is>
          <t>Other</t>
        </is>
      </c>
      <c r="K560" s="75" t="n"/>
      <c r="L560" s="75" t="n"/>
      <c r="M560" s="75" t="n"/>
      <c r="N560" s="75" t="n"/>
      <c r="O560" s="75" t="n"/>
      <c r="P560" s="75" t="n"/>
      <c r="Q560" s="75" t="n"/>
      <c r="R560" s="75" t="n"/>
      <c r="S560" s="75" t="n"/>
      <c r="T560" s="76" t="n"/>
      <c r="U560" s="75" t="n"/>
      <c r="V560" s="76" t="n"/>
      <c r="Y560" s="153" t="inlineStr">
        <is>
          <t>Global Inv - Mar 2026</t>
        </is>
      </c>
      <c r="Z560" s="153" t="inlineStr">
        <is>
          <t>Cloud-based project management and collaboration software</t>
        </is>
      </c>
      <c r="AA560" s="153" t="inlineStr">
        <is>
          <t>Enterprise Agility</t>
        </is>
      </c>
      <c r="AB560" s="121">
        <f>VLOOKUP(AA560,CategorySummaryTable[],2,FALSE)</f>
        <v/>
      </c>
    </row>
    <row r="561" ht="64" customHeight="1" s="142">
      <c r="B561" s="80" t="inlineStr">
        <is>
          <t>Wyatt Communications</t>
        </is>
      </c>
      <c r="C561" s="75" t="inlineStr">
        <is>
          <t>Communication infrastruture tool</t>
        </is>
      </c>
      <c r="D561" s="75" t="inlineStr">
        <is>
          <t>Unknown</t>
        </is>
      </c>
      <c r="E561" s="75" t="inlineStr">
        <is>
          <t>Wyatt Communications</t>
        </is>
      </c>
      <c r="F561" s="75" t="n"/>
      <c r="G561" s="75" t="n"/>
      <c r="H561" s="75" t="n"/>
      <c r="I561" s="75" t="n"/>
      <c r="J561" s="75" t="n"/>
      <c r="K561" s="75" t="n"/>
      <c r="L561" s="75" t="n"/>
      <c r="M561" s="75" t="n"/>
      <c r="N561" s="75" t="n"/>
      <c r="O561" s="75" t="n"/>
      <c r="P561" s="75" t="n"/>
      <c r="Q561" s="75" t="n"/>
      <c r="R561" s="75" t="n"/>
      <c r="S561" s="75" t="n"/>
      <c r="T561" s="76" t="n"/>
      <c r="U561" s="75" t="n"/>
      <c r="V561" s="76" t="n"/>
      <c r="Y561" s="153" t="inlineStr">
        <is>
          <t>Global Inv - Mar 2026</t>
        </is>
      </c>
      <c r="Z561" s="153" t="inlineStr">
        <is>
          <t>Unified communications and IT/network infrastructure services (VoIP, cabling)</t>
        </is>
      </c>
      <c r="AA561" s="153" t="inlineStr">
        <is>
          <t>IT Operations</t>
        </is>
      </c>
      <c r="AB561" s="121">
        <f>VLOOKUP(AA561,CategorySummaryTable[],2,FALSE)</f>
        <v/>
      </c>
    </row>
    <row r="562" ht="64" customHeight="1" s="142">
      <c r="B562" s="77" t="inlineStr">
        <is>
          <t>XTM</t>
        </is>
      </c>
      <c r="C562" s="75" t="inlineStr">
        <is>
          <t>Plainsboro NJ software</t>
        </is>
      </c>
      <c r="D562" s="75" t="inlineStr">
        <is>
          <t>Unknown</t>
        </is>
      </c>
      <c r="E562" s="75" t="inlineStr">
        <is>
          <t>XJ Technologies</t>
        </is>
      </c>
      <c r="F562" s="75" t="n"/>
      <c r="G562" s="75" t="n"/>
      <c r="H562" s="75" t="inlineStr">
        <is>
          <t>Plainsboro Corp</t>
        </is>
      </c>
      <c r="I562" s="75" t="n"/>
      <c r="J562" s="75" t="n"/>
      <c r="K562" s="75" t="inlineStr">
        <is>
          <t>Local</t>
        </is>
      </c>
      <c r="L562" s="75" t="n"/>
      <c r="M562" s="75" t="n"/>
      <c r="N562" s="75" t="n"/>
      <c r="O562" s="75" t="n"/>
      <c r="P562" s="75" t="n"/>
      <c r="Q562" s="75" t="inlineStr">
        <is>
          <t>Y</t>
        </is>
      </c>
      <c r="R562" s="75" t="n"/>
      <c r="S562" s="75" t="n"/>
      <c r="T562" s="76" t="n"/>
      <c r="U562" s="75" t="n"/>
      <c r="V562" s="76" t="n"/>
      <c r="Y562" s="153" t="inlineStr">
        <is>
          <t>Global Inv - Mar 2026</t>
        </is>
      </c>
      <c r="Z562" s="153" t="inlineStr">
        <is>
          <t>Multimethod simulation modeling software (AnyLogic)</t>
        </is>
      </c>
      <c r="AA562" s="153" t="inlineStr">
        <is>
          <t>Engineering</t>
        </is>
      </c>
      <c r="AB562" s="121">
        <f>VLOOKUP(AA562,CategorySummaryTable[],2,FALSE)</f>
        <v/>
      </c>
    </row>
    <row r="563" ht="80" customHeight="1" s="142">
      <c r="B563" s="77" t="inlineStr">
        <is>
          <t>Yokogawa Paperless Printer</t>
        </is>
      </c>
      <c r="C563" s="75" t="inlineStr">
        <is>
          <t>PR software for manufacturing</t>
        </is>
      </c>
      <c r="D563" s="75" t="inlineStr">
        <is>
          <t>Unknown</t>
        </is>
      </c>
      <c r="E563" s="75" t="inlineStr">
        <is>
          <t>Yokogawa</t>
        </is>
      </c>
      <c r="F563" s="75" t="n"/>
      <c r="G563" s="75" t="n"/>
      <c r="H563" s="75" t="inlineStr">
        <is>
          <t>Puerto Rico</t>
        </is>
      </c>
      <c r="I563" s="75" t="n"/>
      <c r="J563" s="75" t="n"/>
      <c r="K563" s="75" t="inlineStr">
        <is>
          <t>Desktop</t>
        </is>
      </c>
      <c r="L563" s="75" t="n"/>
      <c r="M563" s="75" t="n"/>
      <c r="N563" s="75" t="n"/>
      <c r="O563" s="75" t="n"/>
      <c r="P563" s="75" t="n"/>
      <c r="Q563" s="75" t="inlineStr">
        <is>
          <t>Y</t>
        </is>
      </c>
      <c r="R563" s="75" t="n"/>
      <c r="S563" s="75" t="n"/>
      <c r="T563" s="76" t="n"/>
      <c r="U563" s="75" t="n"/>
      <c r="V563" s="76" t="n"/>
      <c r="Y563" s="153" t="inlineStr">
        <is>
          <t>Global Inv - Mar 2026</t>
        </is>
      </c>
      <c r="Z563" s="153" t="inlineStr">
        <is>
          <t>Paperless chart recorder data acquisition and recording software</t>
        </is>
      </c>
      <c r="AA563" s="153" t="inlineStr">
        <is>
          <t>Manufacturing</t>
        </is>
      </c>
      <c r="AB563" s="121">
        <f>VLOOKUP(AA563,CategorySummaryTable[],2,FALSE)</f>
        <v/>
      </c>
    </row>
    <row r="564" ht="64" customHeight="1" s="142">
      <c r="B564" s="80" t="inlineStr">
        <is>
          <t>YouSendIt</t>
        </is>
      </c>
      <c r="C564" s="75" t="inlineStr">
        <is>
          <t>Formerly YouSendIt, now Hightail: a cloud service that lets users send, receive, digitally sign and synchronize files</t>
        </is>
      </c>
      <c r="D564" s="75" t="inlineStr">
        <is>
          <t>Unknown</t>
        </is>
      </c>
      <c r="E564" s="75" t="inlineStr">
        <is>
          <t>OpenText</t>
        </is>
      </c>
      <c r="F564" s="75" t="n"/>
      <c r="G564" s="75" t="n"/>
      <c r="H564" s="75" t="n"/>
      <c r="I564" s="75" t="n"/>
      <c r="J564" s="75" t="inlineStr">
        <is>
          <t>Other</t>
        </is>
      </c>
      <c r="K564" s="75" t="n"/>
      <c r="L564" s="75" t="n"/>
      <c r="M564" s="75" t="n"/>
      <c r="N564" s="75" t="n"/>
      <c r="O564" s="75" t="n"/>
      <c r="P564" s="75" t="n"/>
      <c r="Q564" s="75" t="n"/>
      <c r="R564" s="75" t="n"/>
      <c r="S564" s="75" t="n"/>
      <c r="T564" s="76" t="n"/>
      <c r="U564" s="75" t="n"/>
      <c r="V564" s="76" t="n"/>
      <c r="Y564" s="153" t="inlineStr">
        <is>
          <t>Global Inv - Mar 2026</t>
        </is>
      </c>
      <c r="Z564" s="153" t="inlineStr">
        <is>
          <t>Cloud-based file sending, sharing, and e-signature service (Hightail)</t>
        </is>
      </c>
      <c r="AA564" s="153" t="inlineStr">
        <is>
          <t>IT Operations</t>
        </is>
      </c>
      <c r="AB564" s="121">
        <f>VLOOKUP(AA564,CategorySummaryTable[],2,FALSE)</f>
        <v/>
      </c>
    </row>
    <row r="565" ht="64" customHeight="1" s="142">
      <c r="B565" s="80" t="inlineStr">
        <is>
          <t>Zappon</t>
        </is>
      </c>
      <c r="C565" s="75" t="n"/>
      <c r="D565" s="75" t="inlineStr">
        <is>
          <t>Unknown</t>
        </is>
      </c>
      <c r="E565" s="75" t="n"/>
      <c r="F565" s="75" t="n"/>
      <c r="G565" s="75" t="n"/>
      <c r="H565" s="75" t="n"/>
      <c r="I565" s="75" t="inlineStr">
        <is>
          <t>Yes</t>
        </is>
      </c>
      <c r="J565" s="75" t="n"/>
      <c r="K565" s="75" t="n"/>
      <c r="L565" s="75" t="n"/>
      <c r="M565" s="75" t="n"/>
      <c r="N565" s="75" t="n"/>
      <c r="O565" s="75" t="n"/>
      <c r="P565" s="75" t="n"/>
      <c r="Q565" s="75" t="inlineStr">
        <is>
          <t>No</t>
        </is>
      </c>
      <c r="R565" s="75" t="n"/>
      <c r="S565" s="75" t="n"/>
      <c r="T565" s="76" t="n"/>
      <c r="U565" s="75" t="n"/>
      <c r="V565" s="76" t="n"/>
      <c r="Y565" s="153" t="inlineStr">
        <is>
          <t>Global Inv - Mar 2026</t>
        </is>
      </c>
      <c r="Z565" s="153" t="inlineStr">
        <is>
          <t>NA</t>
        </is>
      </c>
      <c r="AA565" s="153" t="inlineStr">
        <is>
          <t>IT Operations</t>
        </is>
      </c>
      <c r="AB565" s="121">
        <f>VLOOKUP(AA565,CategorySummaryTable[],2,FALSE)</f>
        <v/>
      </c>
    </row>
    <row r="566" ht="80" customHeight="1" s="142">
      <c r="B566" s="56" t="inlineStr">
        <is>
          <t>Zetasizer Software</t>
        </is>
      </c>
      <c r="C566" s="75" t="inlineStr">
        <is>
          <t>Lab software for NJ</t>
        </is>
      </c>
      <c r="D566" s="75" t="inlineStr">
        <is>
          <t>Unknown</t>
        </is>
      </c>
      <c r="E566" s="75" t="inlineStr">
        <is>
          <t>Malvern</t>
        </is>
      </c>
      <c r="F566" s="75" t="n"/>
      <c r="G566" s="75" t="n"/>
      <c r="H566" s="75" t="inlineStr">
        <is>
          <t>Plainsboro Corp</t>
        </is>
      </c>
      <c r="I566" s="75" t="n"/>
      <c r="J566" s="75" t="n"/>
      <c r="K566" s="75" t="inlineStr">
        <is>
          <t>desktop</t>
        </is>
      </c>
      <c r="L566" s="75" t="n"/>
      <c r="M566" s="75" t="n"/>
      <c r="N566" s="75" t="n"/>
      <c r="O566" s="75" t="n"/>
      <c r="P566" s="75" t="n"/>
      <c r="Q566" s="75" t="inlineStr">
        <is>
          <t>Y</t>
        </is>
      </c>
      <c r="R566" s="75" t="n"/>
      <c r="S566" s="75" t="n"/>
      <c r="T566" s="76" t="n"/>
      <c r="U566" s="75" t="n"/>
      <c r="V566" s="76" t="n"/>
      <c r="Y566" s="153" t="inlineStr">
        <is>
          <t>Global Inv - Mar 2026</t>
        </is>
      </c>
      <c r="Z566" s="153" t="inlineStr">
        <is>
          <t>Dynamic light scattering particle/size analysis lab instrument software</t>
        </is>
      </c>
      <c r="AA566" s="153" t="inlineStr">
        <is>
          <t>Clinical Manufacturing Process</t>
        </is>
      </c>
      <c r="AB566" s="121">
        <f>VLOOKUP(AA566,CategorySummaryTable[],2,FALSE)</f>
        <v/>
      </c>
    </row>
    <row r="567" ht="64" customHeight="1" s="142">
      <c r="B567" s="82" t="inlineStr">
        <is>
          <t>Zoom Webinar</t>
        </is>
      </c>
      <c r="C567" s="106" t="inlineStr">
        <is>
          <t>Purchased but not implemented and will be the back-up to Teams. Security Asssessment is underway</t>
        </is>
      </c>
      <c r="D567" s="106" t="inlineStr">
        <is>
          <t>Purchased but not implemented. Security assessment still underway</t>
        </is>
      </c>
      <c r="E567" s="106" t="inlineStr">
        <is>
          <t>Zoom</t>
        </is>
      </c>
      <c r="F567" s="75" t="n"/>
      <c r="G567" s="75" t="inlineStr">
        <is>
          <t>Enterprise</t>
        </is>
      </c>
      <c r="H567" s="106" t="n"/>
      <c r="I567" s="106" t="n"/>
      <c r="J567" s="106" t="inlineStr">
        <is>
          <t>Other</t>
        </is>
      </c>
      <c r="K567" s="106" t="inlineStr">
        <is>
          <t>SaaS</t>
        </is>
      </c>
      <c r="L567" s="75" t="n"/>
      <c r="M567" s="106" t="n"/>
      <c r="N567" s="75" t="n"/>
      <c r="O567" s="75" t="n"/>
      <c r="P567" s="109" t="n"/>
      <c r="Q567" s="106" t="inlineStr">
        <is>
          <t>No</t>
        </is>
      </c>
      <c r="R567" s="106" t="n"/>
      <c r="S567" s="75" t="n"/>
      <c r="T567" s="76" t="n"/>
      <c r="U567" s="75" t="n"/>
      <c r="V567" s="76" t="n"/>
      <c r="Y567" s="153" t="inlineStr">
        <is>
          <t>Global Inv - Mar 2026</t>
        </is>
      </c>
      <c r="Z567" s="153" t="inlineStr">
        <is>
          <t>Webinar hosting and video conferencing software</t>
        </is>
      </c>
      <c r="AA567" s="153" t="inlineStr">
        <is>
          <t>IT Operations</t>
        </is>
      </c>
      <c r="AB567" s="121">
        <f>VLOOKUP(AA567,CategorySummaryTable[],2,FALSE)</f>
        <v/>
      </c>
    </row>
    <row r="568" ht="80" customHeight="1" s="142">
      <c r="B568" t="inlineStr">
        <is>
          <t>Agiloft</t>
        </is>
      </c>
      <c r="C568" t="inlineStr">
        <is>
          <t>Contract Management software</t>
        </is>
      </c>
      <c r="E568" t="inlineStr">
        <is>
          <t>AGILOFT</t>
        </is>
      </c>
      <c r="J568" t="inlineStr">
        <is>
          <t>SaaS (Cloud)</t>
        </is>
      </c>
      <c r="Q568" t="inlineStr">
        <is>
          <t>No</t>
        </is>
      </c>
      <c r="Y568" s="153" t="inlineStr">
        <is>
          <t>IT Shadow</t>
        </is>
      </c>
      <c r="Z568" s="153" t="inlineStr">
        <is>
          <t>Contract lifecycle management (CLM) software</t>
        </is>
      </c>
      <c r="AA568" s="153" t="inlineStr">
        <is>
          <t>Compliance and Risk</t>
        </is>
      </c>
      <c r="AB568" s="121">
        <f>VLOOKUP(AA568,CategorySummaryTable[],2,FALSE)</f>
        <v/>
      </c>
    </row>
    <row r="569" ht="80" customHeight="1" s="142">
      <c r="B569" t="inlineStr">
        <is>
          <t>AppZen</t>
        </is>
      </c>
      <c r="C569" t="inlineStr">
        <is>
          <t>Provides expense auditing and automated processes software to improve compliance and efficiency in business expenses management.</t>
        </is>
      </c>
      <c r="E569" t="inlineStr">
        <is>
          <t>APPZEN INC</t>
        </is>
      </c>
      <c r="J569" t="inlineStr">
        <is>
          <t>SaaS (Cloud)</t>
        </is>
      </c>
      <c r="Q569" t="inlineStr">
        <is>
          <t>No</t>
        </is>
      </c>
      <c r="Y569" s="153" t="inlineStr">
        <is>
          <t>IT Shadow</t>
        </is>
      </c>
      <c r="Z569" s="153" t="inlineStr">
        <is>
          <t>AI-powered expense auditing and spend compliance software</t>
        </is>
      </c>
      <c r="AA569" s="153" t="inlineStr">
        <is>
          <t>Finance</t>
        </is>
      </c>
      <c r="AB569" s="121">
        <f>VLOOKUP(AA569,CategorySummaryTable[],2,FALSE)</f>
        <v/>
      </c>
    </row>
    <row r="570" ht="64" customHeight="1" s="142">
      <c r="B570" t="inlineStr">
        <is>
          <t>Atmosphere</t>
        </is>
      </c>
      <c r="C570" t="inlineStr">
        <is>
          <t>WebApp and marketing portal design</t>
        </is>
      </c>
      <c r="E570" t="inlineStr">
        <is>
          <t>ATMOSPHERE APPS INC</t>
        </is>
      </c>
      <c r="J570" t="inlineStr">
        <is>
          <t>SaaS (Cloud)</t>
        </is>
      </c>
      <c r="Q570" t="inlineStr">
        <is>
          <t>No</t>
        </is>
      </c>
      <c r="Y570" s="153" t="inlineStr">
        <is>
          <t>IT Shadow</t>
        </is>
      </c>
      <c r="Z570" s="153" t="inlineStr">
        <is>
          <t>Mobile and web application development services</t>
        </is>
      </c>
      <c r="AA570" s="153" t="inlineStr">
        <is>
          <t>IT Operations</t>
        </is>
      </c>
      <c r="AB570" s="121">
        <f>VLOOKUP(AA570,CategorySummaryTable[],2,FALSE)</f>
        <v/>
      </c>
    </row>
    <row r="571" ht="80" customHeight="1" s="142">
      <c r="B571" t="inlineStr">
        <is>
          <t>AudiBoard</t>
        </is>
      </c>
      <c r="C571" t="inlineStr">
        <is>
          <t>Audit, Compliance &amp; Risk Management software</t>
        </is>
      </c>
      <c r="E571" t="inlineStr">
        <is>
          <t>AUDITBOARD INC</t>
        </is>
      </c>
      <c r="J571" t="inlineStr">
        <is>
          <t>SaaS (Cloud)</t>
        </is>
      </c>
      <c r="Q571" t="inlineStr">
        <is>
          <t>No</t>
        </is>
      </c>
      <c r="Y571" s="153" t="inlineStr">
        <is>
          <t>IT Shadow</t>
        </is>
      </c>
      <c r="Z571" s="153" t="inlineStr">
        <is>
          <t>Audit, risk, and compliance management software</t>
        </is>
      </c>
      <c r="AA571" s="153" t="inlineStr">
        <is>
          <t>Compliance and Risk</t>
        </is>
      </c>
      <c r="AB571" s="121">
        <f>VLOOKUP(AA571,CategorySummaryTable[],2,FALSE)</f>
        <v/>
      </c>
    </row>
    <row r="572" ht="80" customHeight="1" s="142">
      <c r="B572" t="inlineStr">
        <is>
          <t>Axonify Smart Start</t>
        </is>
      </c>
      <c r="C572" t="inlineStr">
        <is>
          <t>Training platform</t>
        </is>
      </c>
      <c r="E572" t="inlineStr">
        <is>
          <t>AXONIFY INC</t>
        </is>
      </c>
      <c r="J572" t="inlineStr">
        <is>
          <t>SaaS (Cloud)</t>
        </is>
      </c>
      <c r="Q572" t="inlineStr">
        <is>
          <t>No</t>
        </is>
      </c>
      <c r="Y572" s="153" t="inlineStr">
        <is>
          <t>IT Shadow</t>
        </is>
      </c>
      <c r="Z572" s="153" t="inlineStr">
        <is>
          <t>Employee microlearning and training platform</t>
        </is>
      </c>
      <c r="AA572" s="153" t="inlineStr">
        <is>
          <t>Human Resources and Talent</t>
        </is>
      </c>
      <c r="AB572" s="121">
        <f>VLOOKUP(AA572,CategorySummaryTable[],2,FALSE)</f>
        <v/>
      </c>
    </row>
    <row r="573" ht="80" customHeight="1" s="142">
      <c r="B573" t="inlineStr">
        <is>
          <t>Blackline</t>
        </is>
      </c>
      <c r="C573" t="inlineStr">
        <is>
          <t>Accounting account reconciliation</t>
        </is>
      </c>
      <c r="E573" t="inlineStr">
        <is>
          <t>BLACKLINE SYSTEMS INC</t>
        </is>
      </c>
      <c r="J573" t="inlineStr">
        <is>
          <t>SaaS (Cloud)</t>
        </is>
      </c>
      <c r="Q573" t="inlineStr">
        <is>
          <t>No</t>
        </is>
      </c>
      <c r="Y573" s="153" t="inlineStr">
        <is>
          <t>IT Shadow</t>
        </is>
      </c>
      <c r="Z573" s="153" t="inlineStr">
        <is>
          <t>Financial close and account reconciliation automation software</t>
        </is>
      </c>
      <c r="AA573" s="153" t="inlineStr">
        <is>
          <t>Finance</t>
        </is>
      </c>
      <c r="AB573" s="121">
        <f>VLOOKUP(AA573,CategorySummaryTable[],2,FALSE)</f>
        <v/>
      </c>
    </row>
    <row r="574" ht="80" customHeight="1" s="142">
      <c r="B574" t="inlineStr">
        <is>
          <t>Cybergrant</t>
        </is>
      </c>
      <c r="C574" t="inlineStr">
        <is>
          <t>Grants management for Medical Affair</t>
        </is>
      </c>
      <c r="E574" t="inlineStr">
        <is>
          <t>BONTERRA TECH LLC</t>
        </is>
      </c>
      <c r="J574" t="inlineStr">
        <is>
          <t>SaaS (Cloud)</t>
        </is>
      </c>
      <c r="Q574" t="inlineStr">
        <is>
          <t>No</t>
        </is>
      </c>
      <c r="Y574" s="153" t="inlineStr">
        <is>
          <t>IT Shadow</t>
        </is>
      </c>
      <c r="Z574" s="153" t="inlineStr">
        <is>
          <t>Grants and giving lifecycle management software</t>
        </is>
      </c>
      <c r="AA574" s="153" t="inlineStr">
        <is>
          <t>Medical Affairs</t>
        </is>
      </c>
      <c r="AB574" s="121">
        <f>VLOOKUP(AA574,CategorySummaryTable[],2,FALSE)</f>
        <v/>
      </c>
    </row>
    <row r="575" ht="80" customHeight="1" s="142">
      <c r="B575" t="inlineStr">
        <is>
          <t>Certara Analytics</t>
        </is>
      </c>
      <c r="C575" t="inlineStr">
        <is>
          <t>Solution used for Analytics on Mobile TT App + Portal TT</t>
        </is>
      </c>
      <c r="E575" t="inlineStr">
        <is>
          <t>CERTARA USA INC</t>
        </is>
      </c>
      <c r="J575" t="inlineStr">
        <is>
          <t>SaaS (Cloud)</t>
        </is>
      </c>
      <c r="Q575" t="inlineStr">
        <is>
          <t>No</t>
        </is>
      </c>
      <c r="Y575" s="153" t="inlineStr">
        <is>
          <t>IT Shadow</t>
        </is>
      </c>
      <c r="Z575" s="153" t="inlineStr">
        <is>
          <t>Pharmacometric/biosimulation modeling and analytics software</t>
        </is>
      </c>
      <c r="AA575" s="153" t="inlineStr">
        <is>
          <t>Discovery, Development and PreClinical</t>
        </is>
      </c>
      <c r="AB575" s="121">
        <f>VLOOKUP(AA575,CategorySummaryTable[],2,FALSE)</f>
        <v/>
      </c>
    </row>
    <row r="576" ht="96" customHeight="1" s="142">
      <c r="B576" t="inlineStr">
        <is>
          <t>ClinCapture</t>
        </is>
      </c>
      <c r="C576" t="inlineStr">
        <is>
          <t>Medical Affair solution</t>
        </is>
      </c>
      <c r="E576" t="inlineStr">
        <is>
          <t>ClinCapture</t>
        </is>
      </c>
      <c r="J576" t="inlineStr">
        <is>
          <t>SaaS (Cloud)</t>
        </is>
      </c>
      <c r="Q576" t="inlineStr">
        <is>
          <t>Yes</t>
        </is>
      </c>
      <c r="Y576" s="153" t="inlineStr">
        <is>
          <t>IT Shadow</t>
        </is>
      </c>
      <c r="Z576" s="153" t="inlineStr">
        <is>
          <t>Electronic data capture (EDC) software for clinical trials</t>
        </is>
      </c>
      <c r="AA576" s="153" t="inlineStr">
        <is>
          <t>Clinical Trials</t>
        </is>
      </c>
      <c r="AB576" s="121">
        <f>VLOOKUP(AA576,CategorySummaryTable[],2,FALSE)</f>
        <v/>
      </c>
    </row>
    <row r="577" ht="80" customHeight="1" s="142">
      <c r="B577" t="inlineStr">
        <is>
          <t>Concur (SAP)</t>
        </is>
      </c>
      <c r="C577" t="inlineStr">
        <is>
          <t>Travel &amp; Expense</t>
        </is>
      </c>
      <c r="E577" t="inlineStr">
        <is>
          <t>Concur</t>
        </is>
      </c>
      <c r="J577" t="inlineStr">
        <is>
          <t>SaaS (Cloud)</t>
        </is>
      </c>
      <c r="Q577" t="inlineStr">
        <is>
          <t>No</t>
        </is>
      </c>
      <c r="Y577" s="153" t="inlineStr">
        <is>
          <t>IT Shadow</t>
        </is>
      </c>
      <c r="Z577" s="153" t="inlineStr">
        <is>
          <t>Travel and expense management software</t>
        </is>
      </c>
      <c r="AA577" s="153" t="inlineStr">
        <is>
          <t>Finance</t>
        </is>
      </c>
      <c r="AB577" s="121">
        <f>VLOOKUP(AA577,CategorySummaryTable[],2,FALSE)</f>
        <v/>
      </c>
    </row>
    <row r="578" ht="80" customHeight="1" s="142">
      <c r="B578" t="inlineStr">
        <is>
          <t>Culture Amp</t>
        </is>
      </c>
      <c r="C578" t="inlineStr">
        <is>
          <t>Culture Amp platform engagement and effectiveness - enterprise Survey platform for our pulse and employee engagement surveys</t>
        </is>
      </c>
      <c r="E578" t="inlineStr">
        <is>
          <t>CULTURE AMP INC</t>
        </is>
      </c>
      <c r="J578" t="inlineStr">
        <is>
          <t>SaaS (Cloud)</t>
        </is>
      </c>
      <c r="Q578" t="inlineStr">
        <is>
          <t>No</t>
        </is>
      </c>
      <c r="Y578" s="153" t="inlineStr">
        <is>
          <t>IT Shadow</t>
        </is>
      </c>
      <c r="Z578" s="153" t="inlineStr">
        <is>
          <t>Employee engagement and experience survey platform</t>
        </is>
      </c>
      <c r="AA578" s="153" t="inlineStr">
        <is>
          <t>Human Resources and Talent</t>
        </is>
      </c>
      <c r="AB578" s="121">
        <f>VLOOKUP(AA578,CategorySummaryTable[],2,FALSE)</f>
        <v/>
      </c>
    </row>
    <row r="579" ht="80" customHeight="1" s="142">
      <c r="B579" t="inlineStr">
        <is>
          <t>Diligent</t>
        </is>
      </c>
      <c r="C579" t="inlineStr">
        <is>
          <t>Legal/Compliance Application</t>
        </is>
      </c>
      <c r="E579" t="inlineStr">
        <is>
          <t>DILIGENT CORP</t>
        </is>
      </c>
      <c r="J579" t="inlineStr">
        <is>
          <t>SaaS (Cloud)</t>
        </is>
      </c>
      <c r="Q579" t="inlineStr">
        <is>
          <t>No</t>
        </is>
      </c>
      <c r="Y579" s="153" t="inlineStr">
        <is>
          <t>IT Shadow</t>
        </is>
      </c>
      <c r="Z579" s="153" t="inlineStr">
        <is>
          <t>Governance, board management, and compliance software</t>
        </is>
      </c>
      <c r="AA579" s="153" t="inlineStr">
        <is>
          <t>Compliance and Risk</t>
        </is>
      </c>
      <c r="AB579" s="121">
        <f>VLOOKUP(AA579,CategorySummaryTable[],2,FALSE)</f>
        <v/>
      </c>
    </row>
    <row r="580" ht="80" customHeight="1" s="142">
      <c r="B580" t="inlineStr">
        <is>
          <t>Docusign</t>
        </is>
      </c>
      <c r="C580" t="inlineStr">
        <is>
          <t>Provides e-signature technology and digital transaction management services.</t>
        </is>
      </c>
      <c r="E580" t="inlineStr">
        <is>
          <t>DocuSign</t>
        </is>
      </c>
      <c r="J580" t="inlineStr">
        <is>
          <t>SaaS (Cloud)</t>
        </is>
      </c>
      <c r="Q580" t="inlineStr">
        <is>
          <t>No</t>
        </is>
      </c>
      <c r="Y580" s="153" t="inlineStr">
        <is>
          <t>IT Shadow</t>
        </is>
      </c>
      <c r="Z580" s="153" t="inlineStr">
        <is>
          <t>Electronic signature and digital transaction management software</t>
        </is>
      </c>
      <c r="AA580" s="153" t="inlineStr">
        <is>
          <t>Compliance and Risk</t>
        </is>
      </c>
      <c r="AB580" s="121">
        <f>VLOOKUP(AA580,CategorySummaryTable[],2,FALSE)</f>
        <v/>
      </c>
    </row>
    <row r="581" ht="80" customHeight="1" s="142">
      <c r="B581" t="inlineStr">
        <is>
          <t>Research</t>
        </is>
      </c>
      <c r="C581" t="inlineStr">
        <is>
          <t>Delivers financial data and analytical software for investment professionals to make informed investment decisions.</t>
        </is>
      </c>
      <c r="E581" t="inlineStr">
        <is>
          <t>FACTSET RESEARCH SYS INC</t>
        </is>
      </c>
      <c r="J581" t="inlineStr">
        <is>
          <t>SaaS (Cloud)</t>
        </is>
      </c>
      <c r="Q581" t="inlineStr">
        <is>
          <t>No</t>
        </is>
      </c>
      <c r="Y581" s="153" t="inlineStr">
        <is>
          <t>IT Shadow</t>
        </is>
      </c>
      <c r="Z581" s="153" t="inlineStr">
        <is>
          <t>Financial data and analytics platform for investment professionals</t>
        </is>
      </c>
      <c r="AA581" s="153" t="inlineStr">
        <is>
          <t>Data and Analytics</t>
        </is>
      </c>
      <c r="AB581" s="121">
        <f>VLOOKUP(AA581,CategorySummaryTable[],2,FALSE)</f>
        <v/>
      </c>
    </row>
    <row r="582" ht="80" customHeight="1" s="142">
      <c r="B582" t="inlineStr">
        <is>
          <t>Fastpath</t>
        </is>
      </c>
      <c r="C582" t="inlineStr">
        <is>
          <t>Governance, Risks, &amp; Controls system used to provide audit trails on modification performed in Oracle and to support Segregation of Duties (SoD) and sensitive access monitoring</t>
        </is>
      </c>
      <c r="E582" t="inlineStr">
        <is>
          <t>FASTPATH SOLUTIONS LLC</t>
        </is>
      </c>
      <c r="J582" t="inlineStr">
        <is>
          <t>SaaS (Cloud)</t>
        </is>
      </c>
      <c r="Q582" t="inlineStr">
        <is>
          <t>No</t>
        </is>
      </c>
      <c r="Y582" s="153" t="inlineStr">
        <is>
          <t>IT Shadow</t>
        </is>
      </c>
      <c r="Z582" s="153" t="inlineStr">
        <is>
          <t>Access governance, segregation-of-duties, and audit/controls software</t>
        </is>
      </c>
      <c r="AA582" s="153" t="inlineStr">
        <is>
          <t>Compliance and Risk</t>
        </is>
      </c>
      <c r="AB582" s="121">
        <f>VLOOKUP(AA582,CategorySummaryTable[],2,FALSE)</f>
        <v/>
      </c>
    </row>
    <row r="583" ht="80" customHeight="1" s="142">
      <c r="B583" t="inlineStr">
        <is>
          <t>Five9</t>
        </is>
      </c>
      <c r="C583" t="inlineStr">
        <is>
          <t>Call Center solution for Customer Service</t>
        </is>
      </c>
      <c r="E583" t="inlineStr">
        <is>
          <t>FIVE9 INC</t>
        </is>
      </c>
      <c r="J583" t="inlineStr">
        <is>
          <t>SaaS (Cloud)</t>
        </is>
      </c>
      <c r="Q583" t="inlineStr">
        <is>
          <t>No</t>
        </is>
      </c>
      <c r="Y583" s="153" t="inlineStr">
        <is>
          <t>IT Shadow</t>
        </is>
      </c>
      <c r="Z583" s="153" t="inlineStr">
        <is>
          <t>Cloud contact center (CCaaS) software</t>
        </is>
      </c>
      <c r="AA583" s="153" t="inlineStr">
        <is>
          <t>Marketing</t>
        </is>
      </c>
      <c r="AB583" s="121">
        <f>VLOOKUP(AA583,CategorySummaryTable[],2,FALSE)</f>
        <v/>
      </c>
    </row>
    <row r="584" ht="80" customHeight="1" s="142">
      <c r="B584" t="inlineStr">
        <is>
          <t>FoxPlan</t>
        </is>
      </c>
      <c r="C584" t="inlineStr">
        <is>
          <t>Project Management software (used by Le Locle)</t>
        </is>
      </c>
      <c r="E584" t="inlineStr">
        <is>
          <t>FOXPLAN SAS</t>
        </is>
      </c>
      <c r="J584" t="inlineStr">
        <is>
          <t>SaaS (Cloud)</t>
        </is>
      </c>
      <c r="Q584" t="inlineStr">
        <is>
          <t>No</t>
        </is>
      </c>
      <c r="Y584" s="153" t="inlineStr">
        <is>
          <t>IT Shadow</t>
        </is>
      </c>
      <c r="Z584" s="153" t="inlineStr">
        <is>
          <t>Project portfolio management software</t>
        </is>
      </c>
      <c r="AA584" s="153" t="inlineStr">
        <is>
          <t>Enterprise Agility</t>
        </is>
      </c>
      <c r="AB584" s="121">
        <f>VLOOKUP(AA584,CategorySummaryTable[],2,FALSE)</f>
        <v/>
      </c>
    </row>
    <row r="585" ht="80" customHeight="1" s="142">
      <c r="B585" t="inlineStr">
        <is>
          <t>Esker</t>
        </is>
      </c>
      <c r="C585" t="inlineStr">
        <is>
          <t>Customer Order integration</t>
        </is>
      </c>
      <c r="E585" t="inlineStr">
        <is>
          <t>Genpact</t>
        </is>
      </c>
      <c r="J585" t="inlineStr">
        <is>
          <t>SaaS (Cloud)</t>
        </is>
      </c>
      <c r="Q585" t="inlineStr">
        <is>
          <t>No</t>
        </is>
      </c>
      <c r="Y585" s="153" t="inlineStr">
        <is>
          <t>IT Shadow</t>
        </is>
      </c>
      <c r="Z585" s="153" t="inlineStr">
        <is>
          <t>Order-to-cash and document process automation software</t>
        </is>
      </c>
      <c r="AA585" s="153" t="inlineStr">
        <is>
          <t>Finance</t>
        </is>
      </c>
      <c r="AB585" s="121">
        <f>VLOOKUP(AA585,CategorySummaryTable[],2,FALSE)</f>
        <v/>
      </c>
    </row>
    <row r="586" ht="80" customHeight="1" s="142">
      <c r="B586" t="inlineStr">
        <is>
          <t>GenSight</t>
        </is>
      </c>
      <c r="C586" t="inlineStr">
        <is>
          <t>Project Management software (use for R&amp;D Portfolio Management and Project / Time Tracking + Resource Management for Clinical Operations)</t>
        </is>
      </c>
      <c r="E586" t="inlineStr">
        <is>
          <t>GENSIGHT GROUP, THE</t>
        </is>
      </c>
      <c r="J586" t="inlineStr">
        <is>
          <t>SaaS (Cloud)</t>
        </is>
      </c>
      <c r="Q586" t="inlineStr">
        <is>
          <t>No</t>
        </is>
      </c>
      <c r="Y586" s="153" t="inlineStr">
        <is>
          <t>IT Shadow</t>
        </is>
      </c>
      <c r="Z586" s="153" t="inlineStr">
        <is>
          <t>Project portfolio and resource management software</t>
        </is>
      </c>
      <c r="AA586" s="153" t="inlineStr">
        <is>
          <t>Enterprise Agility</t>
        </is>
      </c>
      <c r="AB586" s="121">
        <f>VLOOKUP(AA586,CategorySummaryTable[],2,FALSE)</f>
        <v/>
      </c>
    </row>
    <row r="587" ht="96" customHeight="1" s="142">
      <c r="B587" t="inlineStr">
        <is>
          <t>GHX</t>
        </is>
      </c>
      <c r="C587" t="inlineStr">
        <is>
          <t>EDI solution for customer orders &amp; e-Invoice</t>
        </is>
      </c>
      <c r="E587" t="inlineStr">
        <is>
          <t>GHX GLOBAL HEALTHCARE EXCHANGE</t>
        </is>
      </c>
      <c r="J587" t="inlineStr">
        <is>
          <t>SaaS (Cloud)</t>
        </is>
      </c>
      <c r="Q587" t="inlineStr">
        <is>
          <t>No</t>
        </is>
      </c>
      <c r="Y587" s="153" t="inlineStr">
        <is>
          <t>IT Shadow</t>
        </is>
      </c>
      <c r="Z587" s="153" t="inlineStr">
        <is>
          <t>Healthcare supply chain EDI and e-commerce exchange platform</t>
        </is>
      </c>
      <c r="AA587" s="153" t="inlineStr">
        <is>
          <t>Supply Chain and Distribution</t>
        </is>
      </c>
      <c r="AB587" s="121">
        <f>VLOOKUP(AA587,CategorySummaryTable[],2,FALSE)</f>
        <v/>
      </c>
    </row>
    <row r="588" ht="64" customHeight="1" s="142">
      <c r="B588" t="inlineStr">
        <is>
          <t>SolidWorks</t>
        </is>
      </c>
      <c r="C588" t="inlineStr">
        <is>
          <t>Computer-Aided Design (CAD) system for product designs and drawings</t>
        </is>
      </c>
      <c r="E588" t="inlineStr">
        <is>
          <t>HAWK RIDGE SYSTEMS LLC</t>
        </is>
      </c>
      <c r="I588" t="inlineStr">
        <is>
          <t>Yes</t>
        </is>
      </c>
      <c r="K588" t="inlineStr">
        <is>
          <t>Client Software</t>
        </is>
      </c>
      <c r="Q588" t="inlineStr">
        <is>
          <t>No</t>
        </is>
      </c>
      <c r="Y588" s="153" t="inlineStr">
        <is>
          <t>IT Shadow</t>
        </is>
      </c>
      <c r="Z588" s="153" t="inlineStr">
        <is>
          <t>3D computer-aided design (CAD) software</t>
        </is>
      </c>
      <c r="AA588" s="153" t="inlineStr">
        <is>
          <t>Engineering</t>
        </is>
      </c>
      <c r="AB588" s="121">
        <f>VLOOKUP(AA588,CategorySummaryTable[],2,FALSE)</f>
        <v/>
      </c>
    </row>
    <row r="589" ht="80" customHeight="1" s="142">
      <c r="B589" t="inlineStr">
        <is>
          <t>HubSpot</t>
        </is>
      </c>
      <c r="C589" t="inlineStr">
        <is>
          <t>Marketing email campaigns</t>
        </is>
      </c>
      <c r="E589" t="inlineStr">
        <is>
          <t>HUBSPOT</t>
        </is>
      </c>
      <c r="J589" t="inlineStr">
        <is>
          <t>SaaS (Cloud)</t>
        </is>
      </c>
      <c r="Q589" t="inlineStr">
        <is>
          <t>No</t>
        </is>
      </c>
      <c r="Y589" s="153" t="inlineStr">
        <is>
          <t>IT Shadow</t>
        </is>
      </c>
      <c r="Z589" s="153" t="inlineStr">
        <is>
          <t>Marketing, sales, and CRM automation platform</t>
        </is>
      </c>
      <c r="AA589" s="153" t="inlineStr">
        <is>
          <t>Sales</t>
        </is>
      </c>
      <c r="AB589" s="121">
        <f>VLOOKUP(AA589,CategorySummaryTable[],2,FALSE)</f>
        <v/>
      </c>
    </row>
    <row r="590" ht="80" customHeight="1" s="142">
      <c r="B590" t="inlineStr">
        <is>
          <t>iCoach</t>
        </is>
      </c>
      <c r="C590" t="inlineStr">
        <is>
          <t>iCoach is a field sales coaching and development system and app</t>
        </is>
      </c>
      <c r="E590" t="inlineStr">
        <is>
          <t>ICOACH</t>
        </is>
      </c>
      <c r="J590" t="inlineStr">
        <is>
          <t>SaaS (Cloud)</t>
        </is>
      </c>
      <c r="Q590" t="inlineStr">
        <is>
          <t>No</t>
        </is>
      </c>
      <c r="Y590" s="153" t="inlineStr">
        <is>
          <t>IT Shadow</t>
        </is>
      </c>
      <c r="Z590" s="153" t="inlineStr">
        <is>
          <t>Sales coaching and field development platform</t>
        </is>
      </c>
      <c r="AA590" s="153" t="inlineStr">
        <is>
          <t>Sales</t>
        </is>
      </c>
      <c r="AB590" s="121">
        <f>VLOOKUP(AA590,CategorySummaryTable[],2,FALSE)</f>
        <v/>
      </c>
    </row>
    <row r="591" ht="80" customHeight="1" s="142">
      <c r="B591" t="inlineStr">
        <is>
          <t>Creative</t>
        </is>
      </c>
      <c r="C591" t="inlineStr">
        <is>
          <t>Content, updating, new design templates, and digital signage playlists</t>
        </is>
      </c>
      <c r="E591" t="inlineStr">
        <is>
          <t>IMS TECHNOLOGY SERVICES INC</t>
        </is>
      </c>
      <c r="I591" t="inlineStr">
        <is>
          <t>Yes</t>
        </is>
      </c>
      <c r="K591" t="inlineStr">
        <is>
          <t>Client Software</t>
        </is>
      </c>
      <c r="Q591" t="inlineStr">
        <is>
          <t>No</t>
        </is>
      </c>
      <c r="Y591" s="153" t="inlineStr">
        <is>
          <t>IT Shadow</t>
        </is>
      </c>
      <c r="Z591" s="153" t="inlineStr">
        <is>
          <t>Digital signage and audiovisual content/creative services</t>
        </is>
      </c>
      <c r="AA591" s="153" t="inlineStr">
        <is>
          <t>Marketing</t>
        </is>
      </c>
      <c r="AB591" s="121">
        <f>VLOOKUP(AA591,CategorySummaryTable[],2,FALSE)</f>
        <v/>
      </c>
    </row>
    <row r="592" ht="96" customHeight="1" s="142">
      <c r="B592" t="inlineStr">
        <is>
          <t>GRANT PLAN</t>
        </is>
      </c>
      <c r="C592" t="inlineStr">
        <is>
          <t>Health information technologies and clinical research solutions</t>
        </is>
      </c>
      <c r="E592" t="inlineStr">
        <is>
          <t>IQVIA INC</t>
        </is>
      </c>
      <c r="J592" t="inlineStr">
        <is>
          <t>SaaS (Cloud)</t>
        </is>
      </c>
      <c r="Q592" t="inlineStr">
        <is>
          <t>Yes</t>
        </is>
      </c>
      <c r="Y592" s="153" t="inlineStr">
        <is>
          <t>IT Shadow</t>
        </is>
      </c>
      <c r="Z592" s="153" t="inlineStr">
        <is>
          <t>Clinical research and healthcare data/technology solutions</t>
        </is>
      </c>
      <c r="AA592" s="153" t="inlineStr">
        <is>
          <t>Clinical Trials</t>
        </is>
      </c>
      <c r="AB592" s="121">
        <f>VLOOKUP(AA592,CategorySummaryTable[],2,FALSE)</f>
        <v/>
      </c>
    </row>
    <row r="593" ht="96" customHeight="1" s="142">
      <c r="B593" t="inlineStr">
        <is>
          <t>Trading Partner Platform</t>
        </is>
      </c>
      <c r="C593" t="inlineStr">
        <is>
          <t>Trading Partner platform integrated with GTM/OTM</t>
        </is>
      </c>
      <c r="E593" t="inlineStr">
        <is>
          <t>JUSTRANSFORM DOT COM LLC</t>
        </is>
      </c>
      <c r="J593" t="inlineStr">
        <is>
          <t>SaaS (Cloud)</t>
        </is>
      </c>
      <c r="Q593" t="inlineStr">
        <is>
          <t>No</t>
        </is>
      </c>
      <c r="Y593" s="153" t="inlineStr">
        <is>
          <t>IT Shadow</t>
        </is>
      </c>
      <c r="Z593" s="153" t="inlineStr">
        <is>
          <t>B2B trading partner integration and EDI platform</t>
        </is>
      </c>
      <c r="AA593" s="153" t="inlineStr">
        <is>
          <t>Supply Chain and Distribution</t>
        </is>
      </c>
      <c r="AB593" s="121">
        <f>VLOOKUP(AA593,CategorySummaryTable[],2,FALSE)</f>
        <v/>
      </c>
    </row>
    <row r="594" ht="80" customHeight="1" s="142">
      <c r="B594" t="inlineStr">
        <is>
          <t>LRN</t>
        </is>
      </c>
      <c r="C594" t="inlineStr">
        <is>
          <t>Training content</t>
        </is>
      </c>
      <c r="E594" t="inlineStr">
        <is>
          <t>LRN, THE LEGAL KNOWLEDGE COMPANY</t>
        </is>
      </c>
      <c r="J594" t="inlineStr">
        <is>
          <t>SaaS (Cloud)</t>
        </is>
      </c>
      <c r="Q594" t="inlineStr">
        <is>
          <t>No</t>
        </is>
      </c>
      <c r="Y594" s="153" t="inlineStr">
        <is>
          <t>IT Shadow</t>
        </is>
      </c>
      <c r="Z594" s="153" t="inlineStr">
        <is>
          <t>Ethics and compliance training and advisory content</t>
        </is>
      </c>
      <c r="AA594" s="153" t="inlineStr">
        <is>
          <t>Compliance and Risk</t>
        </is>
      </c>
      <c r="AB594" s="121">
        <f>VLOOKUP(AA594,CategorySummaryTable[],2,FALSE)</f>
        <v/>
      </c>
    </row>
    <row r="595" ht="80" customHeight="1" s="142">
      <c r="B595" t="inlineStr">
        <is>
          <t>Master Control</t>
        </is>
      </c>
      <c r="C595" t="inlineStr">
        <is>
          <t>Automate and manage all critical compliance, product design and quality event documents from every point along the product lifecycle. Solution used by Columbia site</t>
        </is>
      </c>
      <c r="E595" t="inlineStr">
        <is>
          <t>MASTERCONTROL</t>
        </is>
      </c>
      <c r="J595" t="inlineStr">
        <is>
          <t>SaaS (Cloud)</t>
        </is>
      </c>
      <c r="Q595" t="inlineStr">
        <is>
          <t>Yes</t>
        </is>
      </c>
      <c r="Y595" s="153" t="inlineStr">
        <is>
          <t>IT Shadow</t>
        </is>
      </c>
      <c r="Z595" s="153" t="inlineStr">
        <is>
          <t>Quality management system (QMS) and document control software</t>
        </is>
      </c>
      <c r="AA595" s="153" t="inlineStr">
        <is>
          <t>Quality and Validation</t>
        </is>
      </c>
      <c r="AB595" s="121">
        <f>VLOOKUP(AA595,CategorySummaryTable[],2,FALSE)</f>
        <v/>
      </c>
    </row>
    <row r="596" ht="80" customHeight="1" s="142">
      <c r="B596" t="inlineStr">
        <is>
          <t>Ethics Point</t>
        </is>
      </c>
      <c r="C596" t="inlineStr">
        <is>
          <t>Legal Application</t>
        </is>
      </c>
      <c r="E596" t="inlineStr">
        <is>
          <t>NAVEX GLOBAL INC</t>
        </is>
      </c>
      <c r="J596" t="inlineStr">
        <is>
          <t>SaaS (Cloud)</t>
        </is>
      </c>
      <c r="Q596" t="inlineStr">
        <is>
          <t>No</t>
        </is>
      </c>
      <c r="Y596" s="153" t="inlineStr">
        <is>
          <t>IT Shadow</t>
        </is>
      </c>
      <c r="Z596" s="153" t="inlineStr">
        <is>
          <t>Ethics and compliance whistleblower hotline/case management software</t>
        </is>
      </c>
      <c r="AA596" s="153" t="inlineStr">
        <is>
          <t>Compliance and Risk</t>
        </is>
      </c>
      <c r="AB596" s="121">
        <f>VLOOKUP(AA596,CategorySummaryTable[],2,FALSE)</f>
        <v/>
      </c>
    </row>
    <row r="597" ht="80" customHeight="1" s="142">
      <c r="B597" t="inlineStr">
        <is>
          <t>Nyquist</t>
        </is>
      </c>
      <c r="C597" t="inlineStr">
        <is>
          <t>Medical Device Data Module</t>
        </is>
      </c>
      <c r="E597" t="inlineStr">
        <is>
          <t>NYQUISTAI</t>
        </is>
      </c>
      <c r="J597" t="inlineStr">
        <is>
          <t>SaaS (Cloud)</t>
        </is>
      </c>
      <c r="Q597" t="inlineStr">
        <is>
          <t>No</t>
        </is>
      </c>
      <c r="Y597" s="153" t="inlineStr">
        <is>
          <t>IT Shadow</t>
        </is>
      </c>
      <c r="Z597" s="153" t="inlineStr">
        <is>
          <t>Medical device clinical/regulatory data intelligence platform</t>
        </is>
      </c>
      <c r="AA597" s="153" t="inlineStr">
        <is>
          <t>Medical Affairs</t>
        </is>
      </c>
      <c r="AB597" s="121">
        <f>VLOOKUP(AA597,CategorySummaryTable[],2,FALSE)</f>
        <v/>
      </c>
    </row>
    <row r="598" ht="96" customHeight="1" s="142">
      <c r="B598" t="inlineStr">
        <is>
          <t>eIFU Titania</t>
        </is>
      </c>
      <c r="C598" t="inlineStr">
        <is>
          <t>eIFU Titania Platform</t>
        </is>
      </c>
      <c r="E598" t="inlineStr">
        <is>
          <t>OBERON TECHNOLOGIES INC</t>
        </is>
      </c>
      <c r="J598" t="inlineStr">
        <is>
          <t>SaaS (Cloud)</t>
        </is>
      </c>
      <c r="Q598" t="inlineStr">
        <is>
          <t>No</t>
        </is>
      </c>
      <c r="Y598" s="153" t="inlineStr">
        <is>
          <t>IT Shadow</t>
        </is>
      </c>
      <c r="Z598" s="153" t="inlineStr">
        <is>
          <t>Electronic instructions-for-use (eIFU) content delivery platform</t>
        </is>
      </c>
      <c r="AA598" s="153" t="inlineStr">
        <is>
          <t>Regulatory Affairs</t>
        </is>
      </c>
      <c r="AB598" s="121">
        <f>VLOOKUP(AA598,CategorySummaryTable[],2,FALSE)</f>
        <v/>
      </c>
    </row>
    <row r="599" ht="80" customHeight="1" s="142">
      <c r="B599" t="inlineStr">
        <is>
          <t>OneStream</t>
        </is>
      </c>
      <c r="C599" t="inlineStr">
        <is>
          <t>Consolidation &amp; budgeting solution</t>
        </is>
      </c>
      <c r="E599" t="inlineStr">
        <is>
          <t>ONESTREAM SOFTWARE LLC</t>
        </is>
      </c>
      <c r="J599" t="inlineStr">
        <is>
          <t>SaaS (Cloud)</t>
        </is>
      </c>
      <c r="Q599" t="inlineStr">
        <is>
          <t>No</t>
        </is>
      </c>
      <c r="Y599" s="153" t="inlineStr">
        <is>
          <t>IT Shadow</t>
        </is>
      </c>
      <c r="Z599" s="153" t="inlineStr">
        <is>
          <t>Corporate performance management, consolidation, and budgeting software</t>
        </is>
      </c>
      <c r="AA599" s="153" t="inlineStr">
        <is>
          <t>Finance</t>
        </is>
      </c>
      <c r="AB599" s="121">
        <f>VLOOKUP(AA599,CategorySummaryTable[],2,FALSE)</f>
        <v/>
      </c>
    </row>
    <row r="600" ht="80" customHeight="1" s="142">
      <c r="B600" t="inlineStr">
        <is>
          <t>Porzio - GST</t>
        </is>
      </c>
      <c r="C600" t="inlineStr">
        <is>
          <t>Compliance application for Global Spend Transparency</t>
        </is>
      </c>
      <c r="E600" t="inlineStr">
        <is>
          <t>PORZIO LIFE SCIENCES LLC</t>
        </is>
      </c>
      <c r="J600" t="inlineStr">
        <is>
          <t>SaaS (Cloud)</t>
        </is>
      </c>
      <c r="Q600" t="inlineStr">
        <is>
          <t>No</t>
        </is>
      </c>
      <c r="Y600" s="153" t="inlineStr">
        <is>
          <t>IT Shadow</t>
        </is>
      </c>
      <c r="Z600" s="153" t="inlineStr">
        <is>
          <t>Healthcare spend transparency and aggregate spend compliance software</t>
        </is>
      </c>
      <c r="AA600" s="153" t="inlineStr">
        <is>
          <t>Compliance and Risk</t>
        </is>
      </c>
      <c r="AB600" s="121">
        <f>VLOOKUP(AA600,CategorySummaryTable[],2,FALSE)</f>
        <v/>
      </c>
    </row>
    <row r="601" ht="80" customHeight="1" s="142">
      <c r="B601" t="inlineStr">
        <is>
          <t>SAS</t>
        </is>
      </c>
      <c r="C601" t="inlineStr">
        <is>
          <t>Statistical Analysis Software (SAS) licensing fee</t>
        </is>
      </c>
      <c r="E601" t="inlineStr">
        <is>
          <t>SAS INSTITUTE INC</t>
        </is>
      </c>
      <c r="J601" t="inlineStr">
        <is>
          <t>SaaS (Cloud)</t>
        </is>
      </c>
      <c r="Q601" t="inlineStr">
        <is>
          <t>No</t>
        </is>
      </c>
      <c r="Y601" s="153" t="inlineStr">
        <is>
          <t>IT Shadow</t>
        </is>
      </c>
      <c r="Z601" s="153" t="inlineStr">
        <is>
          <t>Statistical analysis and advanced analytics software</t>
        </is>
      </c>
      <c r="AA601" s="153" t="inlineStr">
        <is>
          <t>Data and Analytics</t>
        </is>
      </c>
      <c r="AB601" s="121">
        <f>VLOOKUP(AA601,CategorySummaryTable[],2,FALSE)</f>
        <v/>
      </c>
    </row>
    <row r="602" ht="80" customHeight="1" s="142">
      <c r="B602" t="inlineStr">
        <is>
          <t>Smartsheet</t>
        </is>
      </c>
      <c r="C602" t="inlineStr">
        <is>
          <t>Project Management software (use by Boston Quality &amp; CSS Product Development)</t>
        </is>
      </c>
      <c r="E602" t="inlineStr">
        <is>
          <t>SMARTSHEET INC</t>
        </is>
      </c>
      <c r="J602" t="inlineStr">
        <is>
          <t>SaaS (Cloud)</t>
        </is>
      </c>
      <c r="Q602" t="inlineStr">
        <is>
          <t>No</t>
        </is>
      </c>
      <c r="Y602" s="153" t="inlineStr">
        <is>
          <t>IT Shadow</t>
        </is>
      </c>
      <c r="Z602" s="153" t="inlineStr">
        <is>
          <t>Project and work management collaboration software</t>
        </is>
      </c>
      <c r="AA602" s="153" t="inlineStr">
        <is>
          <t>Enterprise Agility</t>
        </is>
      </c>
      <c r="AB602" s="121">
        <f>VLOOKUP(AA602,CategorySummaryTable[],2,FALSE)</f>
        <v/>
      </c>
    </row>
    <row r="603" ht="80" customHeight="1" s="142">
      <c r="B603" t="inlineStr">
        <is>
          <t>Sphera</t>
        </is>
      </c>
      <c r="C603" t="inlineStr">
        <is>
          <t>Sustainability &amp; Safety Management Solutions</t>
        </is>
      </c>
      <c r="E603" t="inlineStr">
        <is>
          <t>SPHERA SOLUTIONS</t>
        </is>
      </c>
      <c r="J603" t="inlineStr">
        <is>
          <t>SaaS (Cloud)</t>
        </is>
      </c>
      <c r="Q603" t="inlineStr">
        <is>
          <t>No</t>
        </is>
      </c>
      <c r="Y603" s="153" t="inlineStr">
        <is>
          <t>IT Shadow</t>
        </is>
      </c>
      <c r="Z603" s="153" t="inlineStr">
        <is>
          <t>Environmental, health, safety, and sustainability (EHS/ESG) management software</t>
        </is>
      </c>
      <c r="AA603" s="153" t="inlineStr">
        <is>
          <t>Compliance and Risk</t>
        </is>
      </c>
      <c r="AB603" s="121">
        <f>VLOOKUP(AA603,CategorySummaryTable[],2,FALSE)</f>
        <v/>
      </c>
    </row>
    <row r="604" ht="80" customHeight="1" s="142">
      <c r="B604" t="inlineStr">
        <is>
          <t>PayEQ</t>
        </is>
      </c>
      <c r="C604" t="inlineStr">
        <is>
          <t>Equity software</t>
        </is>
      </c>
      <c r="E604" t="inlineStr">
        <is>
          <t>SYNDIO SOLUTIONS INC</t>
        </is>
      </c>
      <c r="J604" t="inlineStr">
        <is>
          <t>SaaS (Cloud)</t>
        </is>
      </c>
      <c r="Q604" t="inlineStr">
        <is>
          <t>No</t>
        </is>
      </c>
      <c r="Y604" s="153" t="inlineStr">
        <is>
          <t>IT Shadow</t>
        </is>
      </c>
      <c r="Z604" s="153" t="inlineStr">
        <is>
          <t>Pay equity analysis and workforce equity software</t>
        </is>
      </c>
      <c r="AA604" s="153" t="inlineStr">
        <is>
          <t>Human Resources and Talent</t>
        </is>
      </c>
      <c r="AB604" s="121">
        <f>VLOOKUP(AA604,CategorySummaryTable[],2,FALSE)</f>
        <v/>
      </c>
    </row>
    <row r="605" ht="80" customHeight="1" s="142">
      <c r="B605" t="inlineStr">
        <is>
          <t>OneSource</t>
        </is>
      </c>
      <c r="C605" t="inlineStr">
        <is>
          <t>Transfer price solution</t>
        </is>
      </c>
      <c r="E605" t="inlineStr">
        <is>
          <t>THOMSON REUTERS (TAX AND ACCOUNTING) INC</t>
        </is>
      </c>
      <c r="J605" t="inlineStr">
        <is>
          <t>SaaS (Cloud)</t>
        </is>
      </c>
      <c r="Q605" t="inlineStr">
        <is>
          <t>No</t>
        </is>
      </c>
      <c r="Y605" s="153" t="inlineStr">
        <is>
          <t>IT Shadow</t>
        </is>
      </c>
      <c r="Z605" s="153" t="inlineStr">
        <is>
          <t>Corporate tax and transfer pricing compliance software</t>
        </is>
      </c>
      <c r="AA605" s="153" t="inlineStr">
        <is>
          <t>Finance</t>
        </is>
      </c>
      <c r="AB605" s="121">
        <f>VLOOKUP(AA605,CategorySummaryTable[],2,FALSE)</f>
        <v/>
      </c>
    </row>
    <row r="606" ht="64" customHeight="1" s="142">
      <c r="B606" t="inlineStr">
        <is>
          <t>Tika Mobile</t>
        </is>
      </c>
      <c r="C606" t="inlineStr">
        <is>
          <t>Medical Affair solution to track activities with TT KOL</t>
        </is>
      </c>
      <c r="E606" t="inlineStr">
        <is>
          <t>TIKAMOBILE INC</t>
        </is>
      </c>
      <c r="J606" t="inlineStr">
        <is>
          <t>SaaS (Cloud)</t>
        </is>
      </c>
      <c r="Q606" t="inlineStr">
        <is>
          <t>No</t>
        </is>
      </c>
      <c r="Y606" s="153" t="inlineStr">
        <is>
          <t>IT Shadow</t>
        </is>
      </c>
      <c r="Z606" s="153" t="inlineStr">
        <is>
          <t>Medical affairs CRM/KOL engagement tracking software (mobile)</t>
        </is>
      </c>
      <c r="AA606" s="153" t="inlineStr">
        <is>
          <t>IT Operations</t>
        </is>
      </c>
      <c r="AB606" s="121">
        <f>VLOOKUP(AA606,CategorySummaryTable[],2,FALSE)</f>
        <v/>
      </c>
    </row>
    <row r="607" ht="80" customHeight="1" s="142">
      <c r="B607" t="inlineStr">
        <is>
          <t>Udemy</t>
        </is>
      </c>
      <c r="C607" t="inlineStr">
        <is>
          <t>Learning Management System</t>
        </is>
      </c>
      <c r="E607" t="inlineStr">
        <is>
          <t>UDEMY INC</t>
        </is>
      </c>
      <c r="J607" t="inlineStr">
        <is>
          <t>SaaS (Cloud)</t>
        </is>
      </c>
      <c r="Q607" t="inlineStr">
        <is>
          <t>No</t>
        </is>
      </c>
      <c r="Y607" s="153" t="inlineStr">
        <is>
          <t>IT Shadow</t>
        </is>
      </c>
      <c r="Z607" s="153" t="inlineStr">
        <is>
          <t>Online learning and training course marketplace/LMS</t>
        </is>
      </c>
      <c r="AA607" s="153" t="inlineStr">
        <is>
          <t>Human Resources and Talent</t>
        </is>
      </c>
      <c r="AB607" s="121">
        <f>VLOOKUP(AA607,CategorySummaryTable[],2,FALSE)</f>
        <v/>
      </c>
    </row>
    <row r="608" ht="80" customHeight="1" s="142">
      <c r="B608" t="inlineStr">
        <is>
          <t>Workiva</t>
        </is>
      </c>
      <c r="C608" t="inlineStr">
        <is>
          <t>ESG platform</t>
        </is>
      </c>
      <c r="E608" t="inlineStr">
        <is>
          <t>WORKIVA INC</t>
        </is>
      </c>
      <c r="J608" t="inlineStr">
        <is>
          <t>SaaS (Cloud)</t>
        </is>
      </c>
      <c r="Q608" t="inlineStr">
        <is>
          <t>No</t>
        </is>
      </c>
      <c r="Y608" s="153" t="inlineStr">
        <is>
          <t>IT Shadow</t>
        </is>
      </c>
      <c r="Z608" s="153" t="inlineStr">
        <is>
          <t>Financial, ESG, and regulatory reporting and disclosure platform</t>
        </is>
      </c>
      <c r="AA608" s="153" t="inlineStr">
        <is>
          <t>Finance</t>
        </is>
      </c>
      <c r="AB608" s="121">
        <f>VLOOKUP(AA608,CategorySummaryTable[],2,FALSE)</f>
        <v/>
      </c>
    </row>
    <row r="609" ht="64" customHeight="1" s="142">
      <c r="B609" t="inlineStr">
        <is>
          <t>COMPASS</t>
        </is>
      </c>
      <c r="E609" t="inlineStr">
        <is>
          <t>COMPASS</t>
        </is>
      </c>
      <c r="Y609" s="153" t="inlineStr">
        <is>
          <t>IT Shadow</t>
        </is>
      </c>
      <c r="Z609" s="153" t="inlineStr">
        <is>
          <t>NA</t>
        </is>
      </c>
      <c r="AA609" s="153" t="inlineStr">
        <is>
          <t>IT Operations</t>
        </is>
      </c>
      <c r="AB609" s="121">
        <f>VLOOKUP(AA609,CategorySummaryTable[],2,FALSE)</f>
        <v/>
      </c>
    </row>
    <row r="610" ht="80" customHeight="1" s="142">
      <c r="B610" t="inlineStr">
        <is>
          <t>SignNow</t>
        </is>
      </c>
      <c r="C610" t="inlineStr">
        <is>
          <t>Electronic signature</t>
        </is>
      </c>
      <c r="E610" t="inlineStr">
        <is>
          <t>AIRSLATE INC</t>
        </is>
      </c>
      <c r="J610" t="inlineStr">
        <is>
          <t>SaaS (Cloud)</t>
        </is>
      </c>
      <c r="Q610" t="inlineStr">
        <is>
          <t>Yes</t>
        </is>
      </c>
      <c r="Y610" s="153" t="inlineStr">
        <is>
          <t>IT managed</t>
        </is>
      </c>
      <c r="Z610" s="153" t="inlineStr">
        <is>
          <t>Electronic signature software</t>
        </is>
      </c>
      <c r="AA610" s="153" t="inlineStr">
        <is>
          <t>Enterprise Agility</t>
        </is>
      </c>
      <c r="AB610" s="121">
        <f>VLOOKUP(AA610,CategorySummaryTable[],2,FALSE)</f>
        <v/>
      </c>
    </row>
    <row r="611" ht="80" customHeight="1" s="142">
      <c r="B611" t="inlineStr">
        <is>
          <t>AlertMedia</t>
        </is>
      </c>
      <c r="C611" t="inlineStr">
        <is>
          <t>Emergency communication system</t>
        </is>
      </c>
      <c r="E611" t="inlineStr">
        <is>
          <t>ALERTMEDIA</t>
        </is>
      </c>
      <c r="J611" t="inlineStr">
        <is>
          <t>SaaS (Cloud)</t>
        </is>
      </c>
      <c r="Q611" t="inlineStr">
        <is>
          <t>No</t>
        </is>
      </c>
      <c r="Y611" s="153" t="inlineStr">
        <is>
          <t>IT managed</t>
        </is>
      </c>
      <c r="Z611" s="153" t="inlineStr">
        <is>
          <t>Emergency mass notification and communication software</t>
        </is>
      </c>
      <c r="AA611" s="153" t="inlineStr">
        <is>
          <t>Compliance and Risk</t>
        </is>
      </c>
      <c r="AB611" s="121">
        <f>VLOOKUP(AA611,CategorySummaryTable[],2,FALSE)</f>
        <v/>
      </c>
    </row>
    <row r="612" ht="64" customHeight="1" s="142">
      <c r="B612" t="inlineStr">
        <is>
          <t>ASPOSE</t>
        </is>
      </c>
      <c r="C612" t="inlineStr">
        <is>
          <t>API Agile PLM</t>
        </is>
      </c>
      <c r="E612" t="inlineStr">
        <is>
          <t>ASPOSE PTY LTD</t>
        </is>
      </c>
      <c r="I612" t="inlineStr">
        <is>
          <t>Yes</t>
        </is>
      </c>
      <c r="Q612" t="inlineStr">
        <is>
          <t>No</t>
        </is>
      </c>
      <c r="Y612" s="153" t="inlineStr">
        <is>
          <t>IT managed</t>
        </is>
      </c>
      <c r="Z612" s="153" t="inlineStr">
        <is>
          <t>Document/file format manipulation APIs and libraries</t>
        </is>
      </c>
      <c r="AA612" s="153" t="inlineStr">
        <is>
          <t>IT Operations</t>
        </is>
      </c>
      <c r="AB612" s="121">
        <f>VLOOKUP(AA612,CategorySummaryTable[],2,FALSE)</f>
        <v/>
      </c>
    </row>
    <row r="613" ht="80" customHeight="1" s="142">
      <c r="B613" t="inlineStr">
        <is>
          <t>Auraplayer</t>
        </is>
      </c>
      <c r="C613" t="inlineStr">
        <is>
          <t>Offers robotic process automation (RPA) software to automate repetitive business processes.</t>
        </is>
      </c>
      <c r="E613" t="inlineStr">
        <is>
          <t>Auraplayer</t>
        </is>
      </c>
      <c r="J613" t="inlineStr">
        <is>
          <t>SaaS (Cloud)</t>
        </is>
      </c>
      <c r="Q613" t="inlineStr">
        <is>
          <t>No</t>
        </is>
      </c>
      <c r="Y613" s="153" t="inlineStr">
        <is>
          <t>IT managed</t>
        </is>
      </c>
      <c r="Z613" s="153" t="inlineStr">
        <is>
          <t>Robotic process automation (RPA) software for Oracle applications</t>
        </is>
      </c>
      <c r="AA613" s="153" t="inlineStr">
        <is>
          <t>Enterprise Agility</t>
        </is>
      </c>
      <c r="AB613" s="121">
        <f>VLOOKUP(AA613,CategorySummaryTable[],2,FALSE)</f>
        <v/>
      </c>
    </row>
    <row r="614" ht="80" customHeight="1" s="142">
      <c r="B614" t="inlineStr">
        <is>
          <t>Automation Anywhere</t>
        </is>
      </c>
      <c r="C614" t="inlineStr">
        <is>
          <t>Offers robotic process automation (RPA) software to automate repetitive business processes.</t>
        </is>
      </c>
      <c r="E614" t="inlineStr">
        <is>
          <t>AUTOMATION ANYWHERE INC</t>
        </is>
      </c>
      <c r="J614" t="inlineStr">
        <is>
          <t>SaaS (Cloud)</t>
        </is>
      </c>
      <c r="Q614" t="inlineStr">
        <is>
          <t>No</t>
        </is>
      </c>
      <c r="Y614" s="153" t="inlineStr">
        <is>
          <t>IT managed</t>
        </is>
      </c>
      <c r="Z614" s="153" t="inlineStr">
        <is>
          <t>Robotic process automation (RPA) and intelligent automation software</t>
        </is>
      </c>
      <c r="AA614" s="153" t="inlineStr">
        <is>
          <t>Enterprise Agility</t>
        </is>
      </c>
      <c r="AB614" s="121">
        <f>VLOOKUP(AA614,CategorySummaryTable[],2,FALSE)</f>
        <v/>
      </c>
    </row>
    <row r="615" ht="80" customHeight="1" s="142">
      <c r="B615" t="inlineStr">
        <is>
          <t>BlueMontain CMMS</t>
        </is>
      </c>
      <c r="C615" t="inlineStr">
        <is>
          <t>Computerized maintenance management system</t>
        </is>
      </c>
      <c r="E615" t="inlineStr">
        <is>
          <t>BLUE MONTAIN</t>
        </is>
      </c>
      <c r="J615" t="inlineStr">
        <is>
          <t>SaaS (Cloud)</t>
        </is>
      </c>
      <c r="Q615" t="inlineStr">
        <is>
          <t>Yes</t>
        </is>
      </c>
      <c r="Y615" s="153" t="inlineStr">
        <is>
          <t>IT managed</t>
        </is>
      </c>
      <c r="Z615" s="153" t="inlineStr">
        <is>
          <t>Computerized maintenance management system (CMMS)</t>
        </is>
      </c>
      <c r="AA615" s="153" t="inlineStr">
        <is>
          <t>Quality and Validation</t>
        </is>
      </c>
      <c r="AB615" s="121">
        <f>VLOOKUP(AA615,CategorySummaryTable[],2,FALSE)</f>
        <v/>
      </c>
    </row>
    <row r="616" ht="80" customHeight="1" s="142">
      <c r="B616" t="inlineStr">
        <is>
          <t>NAYACT</t>
        </is>
      </c>
      <c r="C616" t="inlineStr">
        <is>
          <t>French Sunshine Act - Engagement with Third Parties HCPs</t>
        </is>
      </c>
      <c r="E616" t="inlineStr">
        <is>
          <t>BMI SYSTEM / UBAQ</t>
        </is>
      </c>
      <c r="J616" t="inlineStr">
        <is>
          <t>SaaS (Cloud)</t>
        </is>
      </c>
      <c r="Q616" t="inlineStr">
        <is>
          <t>No</t>
        </is>
      </c>
      <c r="Y616" s="153" t="inlineStr">
        <is>
          <t>IT managed</t>
        </is>
      </c>
      <c r="Z616" s="153" t="inlineStr">
        <is>
          <t>Healthcare compliance and transparency (Sunshine Act) management software</t>
        </is>
      </c>
      <c r="AA616" s="153" t="inlineStr">
        <is>
          <t>Compliance and Risk</t>
        </is>
      </c>
      <c r="AB616" s="121">
        <f>VLOOKUP(AA616,CategorySummaryTable[],2,FALSE)</f>
        <v/>
      </c>
    </row>
    <row r="617" ht="64" customHeight="1" s="142">
      <c r="B617" t="inlineStr">
        <is>
          <t>CallTower</t>
        </is>
      </c>
      <c r="C617" t="inlineStr">
        <is>
          <t>Software solution for managing Unified Communications, integrating voice, video, messaging, and collaboration tools into a single platform.</t>
        </is>
      </c>
      <c r="E617" t="inlineStr">
        <is>
          <t>CALLTOWER INC</t>
        </is>
      </c>
      <c r="J617" t="inlineStr">
        <is>
          <t>SaaS (Cloud)</t>
        </is>
      </c>
      <c r="Q617" t="inlineStr">
        <is>
          <t>Yes</t>
        </is>
      </c>
      <c r="Y617" s="153" t="inlineStr">
        <is>
          <t>IT managed</t>
        </is>
      </c>
      <c r="Z617" s="153" t="inlineStr">
        <is>
          <t>Unified communications (UCaaS) voice, video, and collaboration platform</t>
        </is>
      </c>
      <c r="AA617" s="153" t="inlineStr">
        <is>
          <t>IT Operations</t>
        </is>
      </c>
      <c r="AB617" s="121">
        <f>VLOOKUP(AA617,CategorySummaryTable[],2,FALSE)</f>
        <v/>
      </c>
    </row>
    <row r="618" ht="80" customHeight="1" s="142">
      <c r="B618" t="inlineStr">
        <is>
          <t>Alteryx</t>
        </is>
      </c>
      <c r="C618" t="inlineStr">
        <is>
          <t>Alteryx Designer Subscription (Data Analytics)</t>
        </is>
      </c>
      <c r="E618" t="inlineStr">
        <is>
          <t>Alteryx</t>
        </is>
      </c>
      <c r="J618" t="inlineStr">
        <is>
          <t>SaaS (Cloud)</t>
        </is>
      </c>
      <c r="Q618" t="inlineStr">
        <is>
          <t>No</t>
        </is>
      </c>
      <c r="Y618" s="153" t="inlineStr">
        <is>
          <t>IT managed</t>
        </is>
      </c>
      <c r="Z618" s="153" t="inlineStr">
        <is>
          <t>Self-service data analytics and preparation software</t>
        </is>
      </c>
      <c r="AA618" s="153" t="inlineStr">
        <is>
          <t>Data and Analytics</t>
        </is>
      </c>
      <c r="AB618" s="121">
        <f>VLOOKUP(AA618,CategorySummaryTable[],2,FALSE)</f>
        <v/>
      </c>
    </row>
    <row r="619" ht="64" customHeight="1" s="142">
      <c r="B619" t="inlineStr">
        <is>
          <t>Palo Alto</t>
        </is>
      </c>
      <c r="C619" t="inlineStr">
        <is>
          <t>Firewall VPN solution (GlobalProtect)</t>
        </is>
      </c>
      <c r="E619" t="inlineStr">
        <is>
          <t>Palo Alto Networks</t>
        </is>
      </c>
      <c r="I619" t="inlineStr">
        <is>
          <t>Yes</t>
        </is>
      </c>
      <c r="Q619" t="inlineStr">
        <is>
          <t>No</t>
        </is>
      </c>
      <c r="Y619" s="153" t="inlineStr">
        <is>
          <t>IT managed</t>
        </is>
      </c>
      <c r="Z619" s="153" t="inlineStr">
        <is>
          <t>Network firewall, VPN, and cybersecurity software (GlobalProtect)</t>
        </is>
      </c>
      <c r="AA619" s="153" t="inlineStr">
        <is>
          <t>Cyber Security</t>
        </is>
      </c>
      <c r="AB619" s="121">
        <f>VLOOKUP(AA619,CategorySummaryTable[],2,FALSE)</f>
        <v/>
      </c>
    </row>
    <row r="620" ht="64" customHeight="1" s="142">
      <c r="B620" t="inlineStr">
        <is>
          <t>Thycotic</t>
        </is>
      </c>
      <c r="C620" t="inlineStr">
        <is>
          <t>Secret Server, Privilege Manager, Password Reset Server, and Thycotic Agents</t>
        </is>
      </c>
      <c r="E620" t="inlineStr">
        <is>
          <t>Thycotic</t>
        </is>
      </c>
      <c r="J620" t="inlineStr">
        <is>
          <t>SaaS (Cloud)</t>
        </is>
      </c>
      <c r="Q620" t="inlineStr">
        <is>
          <t>No</t>
        </is>
      </c>
      <c r="Y620" s="153" t="inlineStr">
        <is>
          <t>IT managed</t>
        </is>
      </c>
      <c r="Z620" s="153" t="inlineStr">
        <is>
          <t>Privileged access management and password/secrets management software</t>
        </is>
      </c>
      <c r="AA620" s="153" t="inlineStr">
        <is>
          <t>Cyber Security</t>
        </is>
      </c>
      <c r="AB620" s="121">
        <f>VLOOKUP(AA620,CategorySummaryTable[],2,FALSE)</f>
        <v/>
      </c>
    </row>
    <row r="621" ht="64" customHeight="1" s="142">
      <c r="B621" t="inlineStr">
        <is>
          <t>Lansweeper</t>
        </is>
      </c>
      <c r="C621" t="inlineStr">
        <is>
          <t>Asset Management</t>
        </is>
      </c>
      <c r="E621" t="inlineStr">
        <is>
          <t>CLEVERBRIDGE</t>
        </is>
      </c>
      <c r="I621" t="inlineStr">
        <is>
          <t>Yes</t>
        </is>
      </c>
      <c r="Q621" t="inlineStr">
        <is>
          <t>No</t>
        </is>
      </c>
      <c r="Y621" s="153" t="inlineStr">
        <is>
          <t>IT managed</t>
        </is>
      </c>
      <c r="Z621" s="153" t="inlineStr">
        <is>
          <t>IT asset discovery and management software</t>
        </is>
      </c>
      <c r="AA621" s="153" t="inlineStr">
        <is>
          <t>IT Operations</t>
        </is>
      </c>
      <c r="AB621" s="121">
        <f>VLOOKUP(AA621,CategorySummaryTable[],2,FALSE)</f>
        <v/>
      </c>
    </row>
    <row r="622" ht="64" customHeight="1" s="142">
      <c r="B622" t="inlineStr">
        <is>
          <t>Copado</t>
        </is>
      </c>
      <c r="C622" t="inlineStr">
        <is>
          <t>Provides a DevOps platform for Salesforce to help businesses accelerate releases and improve release quality.</t>
        </is>
      </c>
      <c r="E622" t="inlineStr">
        <is>
          <t>COPADO INC</t>
        </is>
      </c>
      <c r="J622" t="inlineStr">
        <is>
          <t>SaaS (Cloud)</t>
        </is>
      </c>
      <c r="Q622" t="inlineStr">
        <is>
          <t>No</t>
        </is>
      </c>
      <c r="Y622" s="153" t="inlineStr">
        <is>
          <t>IT managed</t>
        </is>
      </c>
      <c r="Z622" s="153" t="inlineStr">
        <is>
          <t>DevOps and release management platform for Salesforce</t>
        </is>
      </c>
      <c r="AA622" s="153" t="inlineStr">
        <is>
          <t>IT Operations</t>
        </is>
      </c>
      <c r="AB622" s="121">
        <f>VLOOKUP(AA622,CategorySummaryTable[],2,FALSE)</f>
        <v/>
      </c>
    </row>
    <row r="623" ht="80" customHeight="1" s="142">
      <c r="B623" t="inlineStr">
        <is>
          <t>EtQ</t>
        </is>
      </c>
      <c r="C623" t="inlineStr">
        <is>
          <t>Quality system - Le Locle &amp; Mainsfield</t>
        </is>
      </c>
      <c r="E623" t="inlineStr">
        <is>
          <t>ETQ</t>
        </is>
      </c>
      <c r="J623" t="inlineStr">
        <is>
          <t>SaaS (Cloud)</t>
        </is>
      </c>
      <c r="Q623" t="inlineStr">
        <is>
          <t>Yes</t>
        </is>
      </c>
      <c r="Y623" s="153" t="inlineStr">
        <is>
          <t>IT managed</t>
        </is>
      </c>
      <c r="Z623" s="153" t="inlineStr">
        <is>
          <t>Quality management system (QMS) software</t>
        </is>
      </c>
      <c r="AA623" s="153" t="inlineStr">
        <is>
          <t>Quality and Validation</t>
        </is>
      </c>
      <c r="AB623" s="121">
        <f>VLOOKUP(AA623,CategorySummaryTable[],2,FALSE)</f>
        <v/>
      </c>
    </row>
    <row r="624" ht="64" customHeight="1" s="142">
      <c r="B624" t="inlineStr">
        <is>
          <t>Cherwell Asset Management (CAM)</t>
        </is>
      </c>
      <c r="C624" t="inlineStr">
        <is>
          <t>Software asset management tool</t>
        </is>
      </c>
      <c r="E624" t="inlineStr">
        <is>
          <t>FLYCAST PARTNERS INC</t>
        </is>
      </c>
      <c r="J624" t="inlineStr">
        <is>
          <t>SaaS (Cloud)</t>
        </is>
      </c>
      <c r="Q624" t="inlineStr">
        <is>
          <t>No</t>
        </is>
      </c>
      <c r="Y624" s="153" t="inlineStr">
        <is>
          <t>IT managed</t>
        </is>
      </c>
      <c r="Z624" s="153" t="inlineStr">
        <is>
          <t>IT asset and software asset management tool</t>
        </is>
      </c>
      <c r="AA624" s="153" t="inlineStr">
        <is>
          <t>IT Operations</t>
        </is>
      </c>
      <c r="AB624" s="121">
        <f>VLOOKUP(AA624,CategorySummaryTable[],2,FALSE)</f>
        <v/>
      </c>
    </row>
    <row r="625" ht="64" customHeight="1" s="142">
      <c r="B625" t="inlineStr">
        <is>
          <t>Jitterbit</t>
        </is>
      </c>
      <c r="C625" t="inlineStr">
        <is>
          <t>Delivers integration platform as a service (iPaaS) solutions to connect systems and applications within an organization. Use for Salesforce integration</t>
        </is>
      </c>
      <c r="E625" t="inlineStr">
        <is>
          <t>JITTERBIT INC</t>
        </is>
      </c>
      <c r="J625" t="inlineStr">
        <is>
          <t>SaaS (Cloud)</t>
        </is>
      </c>
      <c r="Q625" t="inlineStr">
        <is>
          <t>No</t>
        </is>
      </c>
      <c r="Y625" s="153" t="inlineStr">
        <is>
          <t>IT managed</t>
        </is>
      </c>
      <c r="Z625" s="153" t="inlineStr">
        <is>
          <t>Integration platform as a service (iPaaS) for connecting applications</t>
        </is>
      </c>
      <c r="AA625" s="153" t="inlineStr">
        <is>
          <t>IT Operations</t>
        </is>
      </c>
      <c r="AB625" s="121">
        <f>VLOOKUP(AA625,CategorySummaryTable[],2,FALSE)</f>
        <v/>
      </c>
    </row>
    <row r="626" ht="80" customHeight="1" s="142">
      <c r="B626" t="inlineStr">
        <is>
          <t>Qsim</t>
        </is>
      </c>
      <c r="C626" t="inlineStr">
        <is>
          <t>Visual Territory Planning Tool - CSS only</t>
        </is>
      </c>
      <c r="E626" t="inlineStr">
        <is>
          <t>MAREANA MARKETING LLC</t>
        </is>
      </c>
      <c r="J626" t="inlineStr">
        <is>
          <t>SaaS (Cloud)</t>
        </is>
      </c>
      <c r="Q626" t="inlineStr">
        <is>
          <t>No</t>
        </is>
      </c>
      <c r="Y626" s="153" t="inlineStr">
        <is>
          <t>IT managed</t>
        </is>
      </c>
      <c r="Z626" s="153" t="inlineStr">
        <is>
          <t>AI-powered data analytics platform for pharma manufacturing and supply chain</t>
        </is>
      </c>
      <c r="AA626" s="153" t="inlineStr">
        <is>
          <t>Sales</t>
        </is>
      </c>
      <c r="AB626" s="121">
        <f>VLOOKUP(AA626,CategorySummaryTable[],2,FALSE)</f>
        <v/>
      </c>
    </row>
    <row r="627" ht="64" customHeight="1" s="142">
      <c r="B627" t="inlineStr">
        <is>
          <t>Qradar</t>
        </is>
      </c>
      <c r="C627" t="inlineStr">
        <is>
          <t>Monitors for security events on all network devices.</t>
        </is>
      </c>
      <c r="E627" t="inlineStr">
        <is>
          <t>MIRACLE SOFTWARE SYSTEMS INC</t>
        </is>
      </c>
      <c r="J627" t="inlineStr">
        <is>
          <t>SaaS (Cloud)</t>
        </is>
      </c>
      <c r="Q627" t="inlineStr">
        <is>
          <t>No</t>
        </is>
      </c>
      <c r="Y627" s="153" t="inlineStr">
        <is>
          <t>IT managed</t>
        </is>
      </c>
      <c r="Z627" s="153" t="inlineStr">
        <is>
          <t>Security information and event management (SIEM) platform</t>
        </is>
      </c>
      <c r="AA627" s="153" t="inlineStr">
        <is>
          <t>Cyber Security</t>
        </is>
      </c>
      <c r="AB627" s="121">
        <f>VLOOKUP(AA627,CategorySummaryTable[],2,FALSE)</f>
        <v/>
      </c>
    </row>
    <row r="628" ht="80" customHeight="1" s="142">
      <c r="B628" t="inlineStr">
        <is>
          <t>Miro</t>
        </is>
      </c>
      <c r="C628" t="inlineStr">
        <is>
          <t>Offers an online collaborative whiteboard platform to improve team collaboration and project management.</t>
        </is>
      </c>
      <c r="E628" t="inlineStr">
        <is>
          <t>Miro</t>
        </is>
      </c>
      <c r="J628" t="inlineStr">
        <is>
          <t>SaaS (Cloud)</t>
        </is>
      </c>
      <c r="Q628" t="inlineStr">
        <is>
          <t>No</t>
        </is>
      </c>
      <c r="Y628" s="153" t="inlineStr">
        <is>
          <t>IT managed</t>
        </is>
      </c>
      <c r="Z628" s="153" t="inlineStr">
        <is>
          <t>Online collaborative whiteboard and visual workspace platform</t>
        </is>
      </c>
      <c r="AA628" s="153" t="inlineStr">
        <is>
          <t>Enterprise Agility</t>
        </is>
      </c>
      <c r="AB628" s="121">
        <f>VLOOKUP(AA628,CategorySummaryTable[],2,FALSE)</f>
        <v/>
      </c>
    </row>
    <row r="629" ht="80" customHeight="1" s="142">
      <c r="B629" t="inlineStr">
        <is>
          <t>Model N - Contract</t>
        </is>
      </c>
      <c r="C629" t="inlineStr">
        <is>
          <t>Customer Contract Management</t>
        </is>
      </c>
      <c r="E629" t="inlineStr">
        <is>
          <t>MODEL N INC</t>
        </is>
      </c>
      <c r="J629" t="inlineStr">
        <is>
          <t>SaaS (Cloud)</t>
        </is>
      </c>
      <c r="Q629" t="inlineStr">
        <is>
          <t>No</t>
        </is>
      </c>
      <c r="Y629" s="153" t="inlineStr">
        <is>
          <t>IT managed</t>
        </is>
      </c>
      <c r="Z629" s="153" t="inlineStr">
        <is>
          <t>Revenue and contract management software</t>
        </is>
      </c>
      <c r="AA629" s="153" t="inlineStr">
        <is>
          <t>Sales</t>
        </is>
      </c>
      <c r="AB629" s="121">
        <f>VLOOKUP(AA629,CategorySummaryTable[],2,FALSE)</f>
        <v/>
      </c>
    </row>
    <row r="630" ht="80" customHeight="1" s="142">
      <c r="B630" t="inlineStr">
        <is>
          <t>OnePlan</t>
        </is>
      </c>
      <c r="C630" t="inlineStr">
        <is>
          <t>Project Management software (use by IS - CMC deployment in progress)</t>
        </is>
      </c>
      <c r="E630" t="inlineStr">
        <is>
          <t>OnePlan</t>
        </is>
      </c>
      <c r="J630" t="inlineStr">
        <is>
          <t>SaaS (Cloud)</t>
        </is>
      </c>
      <c r="Q630" t="inlineStr">
        <is>
          <t>No</t>
        </is>
      </c>
      <c r="Y630" s="153" t="inlineStr">
        <is>
          <t>IT managed</t>
        </is>
      </c>
      <c r="Z630" s="153" t="inlineStr">
        <is>
          <t>Project and portfolio management software</t>
        </is>
      </c>
      <c r="AA630" s="153" t="inlineStr">
        <is>
          <t>Enterprise Agility</t>
        </is>
      </c>
      <c r="AB630" s="121">
        <f>VLOOKUP(AA630,CategorySummaryTable[],2,FALSE)</f>
        <v/>
      </c>
    </row>
    <row r="631" ht="80" customHeight="1" s="142">
      <c r="B631" t="inlineStr">
        <is>
          <t>OneTrust</t>
        </is>
      </c>
      <c r="C631" t="inlineStr">
        <is>
          <t>IS/IT Supplier online assessment for security &amp; compliance</t>
        </is>
      </c>
      <c r="E631" t="inlineStr">
        <is>
          <t>ONETRUST LLC</t>
        </is>
      </c>
      <c r="J631" t="inlineStr">
        <is>
          <t>SaaS (Cloud)</t>
        </is>
      </c>
      <c r="Q631" t="inlineStr">
        <is>
          <t>No</t>
        </is>
      </c>
      <c r="Y631" s="153" t="inlineStr">
        <is>
          <t>IT managed</t>
        </is>
      </c>
      <c r="Z631" s="153" t="inlineStr">
        <is>
          <t>Privacy, security, and governance/risk/compliance (GRC) management platform</t>
        </is>
      </c>
      <c r="AA631" s="153" t="inlineStr">
        <is>
          <t>Compliance and Risk</t>
        </is>
      </c>
      <c r="AB631" s="121">
        <f>VLOOKUP(AA631,CategorySummaryTable[],2,FALSE)</f>
        <v/>
      </c>
    </row>
    <row r="632" ht="64" customHeight="1" s="142">
      <c r="B632" t="inlineStr">
        <is>
          <t>RightFax</t>
        </is>
      </c>
      <c r="C632" t="inlineStr">
        <is>
          <t>Faxing inbound and outbound on corporate location.</t>
        </is>
      </c>
      <c r="E632" t="inlineStr">
        <is>
          <t>OPEN TEXT INC</t>
        </is>
      </c>
      <c r="J632" t="inlineStr">
        <is>
          <t>SaaS (Cloud)</t>
        </is>
      </c>
      <c r="Q632" t="inlineStr">
        <is>
          <t>No</t>
        </is>
      </c>
      <c r="Y632" s="153" t="inlineStr">
        <is>
          <t>IT managed</t>
        </is>
      </c>
      <c r="Z632" s="153" t="inlineStr">
        <is>
          <t>Enterprise fax server software for inbound/outbound faxing</t>
        </is>
      </c>
      <c r="AA632" s="153" t="inlineStr">
        <is>
          <t>IT Operations</t>
        </is>
      </c>
      <c r="AB632" s="121">
        <f>VLOOKUP(AA632,CategorySummaryTable[],2,FALSE)</f>
        <v/>
      </c>
    </row>
    <row r="633" ht="80" customHeight="1" s="142">
      <c r="B633" t="inlineStr">
        <is>
          <t>Profisee</t>
        </is>
      </c>
      <c r="C633" t="inlineStr">
        <is>
          <t>Master Data Management solution</t>
        </is>
      </c>
      <c r="E633" t="inlineStr">
        <is>
          <t>PROFISEE GROUP INC</t>
        </is>
      </c>
      <c r="J633" t="inlineStr">
        <is>
          <t>SaaS (Cloud)</t>
        </is>
      </c>
      <c r="Q633" t="inlineStr">
        <is>
          <t>Yes</t>
        </is>
      </c>
      <c r="Y633" s="153" t="inlineStr">
        <is>
          <t>IT managed</t>
        </is>
      </c>
      <c r="Z633" s="153" t="inlineStr">
        <is>
          <t>Master data management (MDM) software</t>
        </is>
      </c>
      <c r="AA633" s="153" t="inlineStr">
        <is>
          <t>Data and Analytics</t>
        </is>
      </c>
      <c r="AB633" s="121">
        <f>VLOOKUP(AA633,CategorySummaryTable[],2,FALSE)</f>
        <v/>
      </c>
    </row>
    <row r="634" ht="80" customHeight="1" s="142">
      <c r="B634" t="inlineStr">
        <is>
          <t>QAD</t>
        </is>
      </c>
      <c r="C634" t="inlineStr">
        <is>
          <t>Acclarent QAD solution</t>
        </is>
      </c>
      <c r="E634" t="inlineStr">
        <is>
          <t>QAD INC</t>
        </is>
      </c>
      <c r="Q634" t="inlineStr">
        <is>
          <t>Yes</t>
        </is>
      </c>
      <c r="Y634" s="153" t="inlineStr">
        <is>
          <t>IT managed</t>
        </is>
      </c>
      <c r="Z634" s="153" t="inlineStr">
        <is>
          <t>Manufacturing enterprise resource planning (ERP) software</t>
        </is>
      </c>
      <c r="AA634" s="153" t="inlineStr">
        <is>
          <t>Finance</t>
        </is>
      </c>
      <c r="AB634" s="121">
        <f>VLOOKUP(AA634,CategorySummaryTable[],2,FALSE)</f>
        <v/>
      </c>
    </row>
    <row r="635" ht="80" customHeight="1" s="142">
      <c r="B635" t="inlineStr">
        <is>
          <t>MAS200</t>
        </is>
      </c>
      <c r="C635" t="inlineStr">
        <is>
          <t>Sage ERP used in Boston</t>
        </is>
      </c>
      <c r="E635" t="inlineStr">
        <is>
          <t>SAGE ACCPAC INTERNATIONAL INC</t>
        </is>
      </c>
      <c r="I635" t="inlineStr">
        <is>
          <t>Yes</t>
        </is>
      </c>
      <c r="Q635" t="inlineStr">
        <is>
          <t>No</t>
        </is>
      </c>
      <c r="Y635" s="153" t="inlineStr">
        <is>
          <t>IT managed</t>
        </is>
      </c>
      <c r="Z635" s="153" t="inlineStr">
        <is>
          <t>Accounting and ERP software (Sage)</t>
        </is>
      </c>
      <c r="AA635" s="153" t="inlineStr">
        <is>
          <t>Finance</t>
        </is>
      </c>
      <c r="AB635" s="121">
        <f>VLOOKUP(AA635,CategorySummaryTable[],2,FALSE)</f>
        <v/>
      </c>
    </row>
    <row r="636" ht="64" customHeight="1" s="142">
      <c r="B636" t="inlineStr">
        <is>
          <t>Falcon Complete Flex</t>
        </is>
      </c>
      <c r="C636" t="inlineStr">
        <is>
          <t>Cybersecurity platform - End Point Detection</t>
        </is>
      </c>
      <c r="E636" t="inlineStr">
        <is>
          <t>CrowdStrike</t>
        </is>
      </c>
      <c r="J636" t="inlineStr">
        <is>
          <t>SaaS (Cloud)</t>
        </is>
      </c>
      <c r="Q636" t="inlineStr">
        <is>
          <t>No</t>
        </is>
      </c>
      <c r="Y636" s="153" t="inlineStr">
        <is>
          <t>IT managed</t>
        </is>
      </c>
      <c r="Z636" s="153" t="inlineStr">
        <is>
          <t>Managed endpoint detection and response (EDR) cybersecurity service</t>
        </is>
      </c>
      <c r="AA636" s="153" t="inlineStr">
        <is>
          <t>Cyber Security</t>
        </is>
      </c>
      <c r="AB636" s="121">
        <f>VLOOKUP(AA636,CategorySummaryTable[],2,FALSE)</f>
        <v/>
      </c>
    </row>
    <row r="637" ht="64" customHeight="1" s="142">
      <c r="B637" t="inlineStr">
        <is>
          <t>Proofpoint</t>
        </is>
      </c>
      <c r="C637" t="inlineStr">
        <is>
          <t>PFPT Threat Response Auto-Pul software</t>
        </is>
      </c>
      <c r="E637" t="inlineStr">
        <is>
          <t>Proofpoint</t>
        </is>
      </c>
      <c r="J637" t="inlineStr">
        <is>
          <t>SaaS (Cloud)</t>
        </is>
      </c>
      <c r="Q637" t="inlineStr">
        <is>
          <t>No</t>
        </is>
      </c>
      <c r="Y637" s="153" t="inlineStr">
        <is>
          <t>IT managed</t>
        </is>
      </c>
      <c r="Z637" s="153" t="inlineStr">
        <is>
          <t>Email security and threat protection software</t>
        </is>
      </c>
      <c r="AA637" s="153" t="inlineStr">
        <is>
          <t>Cyber Security</t>
        </is>
      </c>
      <c r="AB637" s="121">
        <f>VLOOKUP(AA637,CategorySummaryTable[],2,FALSE)</f>
        <v/>
      </c>
    </row>
    <row r="638" ht="64" customHeight="1" s="142">
      <c r="B638" t="inlineStr">
        <is>
          <t>Rapid7</t>
        </is>
      </c>
      <c r="C638" t="inlineStr">
        <is>
          <t>Security monitoring solution</t>
        </is>
      </c>
      <c r="E638" t="inlineStr">
        <is>
          <t>Rapid7</t>
        </is>
      </c>
      <c r="J638" t="inlineStr">
        <is>
          <t>SaaS (Cloud)</t>
        </is>
      </c>
      <c r="Q638" t="inlineStr">
        <is>
          <t>No</t>
        </is>
      </c>
      <c r="Y638" s="153" t="inlineStr">
        <is>
          <t>IT managed</t>
        </is>
      </c>
      <c r="Z638" s="153" t="inlineStr">
        <is>
          <t>Vulnerability management and security monitoring platform</t>
        </is>
      </c>
      <c r="AA638" s="153" t="inlineStr">
        <is>
          <t>Cyber Security</t>
        </is>
      </c>
      <c r="AB638" s="121">
        <f>VLOOKUP(AA638,CategorySummaryTable[],2,FALSE)</f>
        <v/>
      </c>
    </row>
    <row r="639" ht="64" customHeight="1" s="142">
      <c r="B639" t="inlineStr">
        <is>
          <t>Valimail Enforce</t>
        </is>
      </c>
      <c r="C639" t="inlineStr">
        <is>
          <t>Leading email authentification software</t>
        </is>
      </c>
      <c r="E639" t="inlineStr">
        <is>
          <t>Valimail</t>
        </is>
      </c>
      <c r="J639" t="inlineStr">
        <is>
          <t>SaaS (Cloud)</t>
        </is>
      </c>
      <c r="Q639" t="inlineStr">
        <is>
          <t>No</t>
        </is>
      </c>
      <c r="Y639" s="153" t="inlineStr">
        <is>
          <t>IT managed</t>
        </is>
      </c>
      <c r="Z639" s="153" t="inlineStr">
        <is>
          <t>Email authentication and DMARC enforcement software</t>
        </is>
      </c>
      <c r="AA639" s="153" t="inlineStr">
        <is>
          <t>Cyber Security</t>
        </is>
      </c>
      <c r="AB639" s="121">
        <f>VLOOKUP(AA639,CategorySummaryTable[],2,FALSE)</f>
        <v/>
      </c>
    </row>
    <row r="640" ht="64" customHeight="1" s="142">
      <c r="B640" t="inlineStr">
        <is>
          <t>Teamcenter</t>
        </is>
      </c>
      <c r="C640" t="inlineStr">
        <is>
          <t>Computer-Aided Design (CAD)</t>
        </is>
      </c>
      <c r="E640" t="inlineStr">
        <is>
          <t>SIEMENS INDUSTRY SOFTWARE INC</t>
        </is>
      </c>
      <c r="I640" t="inlineStr">
        <is>
          <t>Yes</t>
        </is>
      </c>
      <c r="Q640" t="inlineStr">
        <is>
          <t>Yes</t>
        </is>
      </c>
      <c r="Y640" s="153" t="inlineStr">
        <is>
          <t>IT managed</t>
        </is>
      </c>
      <c r="Z640" s="153" t="inlineStr">
        <is>
          <t>Product lifecycle management (PLM) software</t>
        </is>
      </c>
      <c r="AA640" s="153" t="inlineStr">
        <is>
          <t>Engineering</t>
        </is>
      </c>
      <c r="AB640" s="121">
        <f>VLOOKUP(AA640,CategorySummaryTable[],2,FALSE)</f>
        <v/>
      </c>
    </row>
    <row r="641" ht="64" customHeight="1" s="142">
      <c r="B641" t="inlineStr">
        <is>
          <t>Bitsight</t>
        </is>
      </c>
      <c r="C641" t="inlineStr">
        <is>
          <t>Risk monitoring</t>
        </is>
      </c>
      <c r="E641" t="inlineStr">
        <is>
          <t>SOURCE CALLE LLC</t>
        </is>
      </c>
      <c r="J641" t="inlineStr">
        <is>
          <t>SaaS (Cloud)</t>
        </is>
      </c>
      <c r="Q641" t="inlineStr">
        <is>
          <t>No</t>
        </is>
      </c>
      <c r="Y641" s="153" t="inlineStr">
        <is>
          <t>IT managed</t>
        </is>
      </c>
      <c r="Z641" s="153" t="inlineStr">
        <is>
          <t>Security ratings and third-party cyber risk monitoring service</t>
        </is>
      </c>
      <c r="AA641" s="153" t="inlineStr">
        <is>
          <t>IT Operations</t>
        </is>
      </c>
      <c r="AB641" s="121">
        <f>VLOOKUP(AA641,CategorySummaryTable[],2,FALSE)</f>
        <v/>
      </c>
    </row>
    <row r="642" ht="80" customHeight="1" s="142">
      <c r="B642" t="inlineStr">
        <is>
          <t>Trackwise Digital</t>
        </is>
      </c>
      <c r="C642" t="inlineStr">
        <is>
          <t>Quality System - Current scope : Audit &amp; CAPA / NC implementation project in progress / SQM to start</t>
        </is>
      </c>
      <c r="E642" t="inlineStr">
        <is>
          <t>Sparta Honeywell</t>
        </is>
      </c>
      <c r="J642" t="inlineStr">
        <is>
          <t>SaaS (Cloud)</t>
        </is>
      </c>
      <c r="Q642" t="inlineStr">
        <is>
          <t>Yes</t>
        </is>
      </c>
      <c r="Y642" s="153" t="inlineStr">
        <is>
          <t>IT managed</t>
        </is>
      </c>
      <c r="Z642" s="153" t="inlineStr">
        <is>
          <t>Quality management system (QMS) software</t>
        </is>
      </c>
      <c r="AA642" s="153" t="inlineStr">
        <is>
          <t>Quality and Validation</t>
        </is>
      </c>
      <c r="AB642" s="121">
        <f>VLOOKUP(AA642,CategorySummaryTable[],2,FALSE)</f>
        <v/>
      </c>
    </row>
    <row r="643" ht="64" customHeight="1" s="142">
      <c r="B643" t="inlineStr">
        <is>
          <t>SOA Suite</t>
        </is>
      </c>
      <c r="E643" t="inlineStr">
        <is>
          <t>SOA Suite</t>
        </is>
      </c>
      <c r="Y643" s="153" t="inlineStr">
        <is>
          <t>IT managed</t>
        </is>
      </c>
      <c r="Z643" s="153" t="inlineStr">
        <is>
          <t>Service-oriented architecture (SOA) integration middleware suite</t>
        </is>
      </c>
      <c r="AA643" s="153" t="inlineStr">
        <is>
          <t>IT Operations</t>
        </is>
      </c>
      <c r="AB643" s="121">
        <f>VLOOKUP(AA643,CategorySummaryTable[],2,FALSE)</f>
        <v/>
      </c>
    </row>
    <row r="644" ht="64" customHeight="1" s="142">
      <c r="B644" t="inlineStr">
        <is>
          <t>Tidal Enterprise Scheduler</t>
        </is>
      </c>
      <c r="E644" t="inlineStr">
        <is>
          <t>Tidal Enterprise Scheduler</t>
        </is>
      </c>
      <c r="Y644" s="153" t="inlineStr">
        <is>
          <t>IT managed</t>
        </is>
      </c>
      <c r="Z644" s="153" t="inlineStr">
        <is>
          <t>Job scheduling and workload automation software</t>
        </is>
      </c>
      <c r="AA644" s="153" t="inlineStr">
        <is>
          <t>IT Operations</t>
        </is>
      </c>
      <c r="AB644" s="121">
        <f>VLOOKUP(AA644,CategorySummaryTable[],2,FALSE)</f>
        <v/>
      </c>
    </row>
    <row r="645" ht="64" customHeight="1" s="142">
      <c r="B645" t="inlineStr">
        <is>
          <t>Oracle Integration Cloud (OIC)</t>
        </is>
      </c>
      <c r="E645" t="inlineStr">
        <is>
          <t>Oracle Integration Cloud (OIC)</t>
        </is>
      </c>
      <c r="Y645" s="153" t="inlineStr">
        <is>
          <t>IT managed</t>
        </is>
      </c>
      <c r="Z645" s="153" t="inlineStr">
        <is>
          <t>Cloud integration platform as a service (iPaaS)</t>
        </is>
      </c>
      <c r="AA645" s="153" t="inlineStr">
        <is>
          <t>IT Operations</t>
        </is>
      </c>
      <c r="AB645" s="121">
        <f>VLOOKUP(AA645,CategorySummaryTable[],2,FALSE)</f>
        <v/>
      </c>
    </row>
    <row r="646" ht="64" customHeight="1" s="142">
      <c r="B646" s="111">
        <f>E646</f>
        <v/>
      </c>
      <c r="C646" t="inlineStr">
        <is>
          <t>IT procurement, software licensing, cloud, cybersecurity, and managed services provider.</t>
        </is>
      </c>
      <c r="E646" t="inlineStr">
        <is>
          <t>SHI CORP</t>
        </is>
      </c>
      <c r="Y646" s="153" t="inlineStr">
        <is>
          <t>2026 LOB IT Vendor List</t>
        </is>
      </c>
      <c r="Z646" s="153" t="inlineStr">
        <is>
          <t>IT product reseller and software licensing/procurement provider</t>
        </is>
      </c>
      <c r="AA646" s="153" t="inlineStr">
        <is>
          <t>IT Operations</t>
        </is>
      </c>
      <c r="AB646" s="121">
        <f>VLOOKUP(AA646,CategorySummaryTable[],2,FALSE)</f>
        <v/>
      </c>
    </row>
    <row r="647" ht="96" customHeight="1" s="142">
      <c r="B647" s="111">
        <f>E647</f>
        <v/>
      </c>
      <c r="C647" t="inlineStr">
        <is>
          <t>Healthcare vendor credentialing, compliance, and supply chain management services.</t>
        </is>
      </c>
      <c r="E647" t="inlineStr">
        <is>
          <t>VENDORMATE INC</t>
        </is>
      </c>
      <c r="Y647" s="153" t="inlineStr">
        <is>
          <t>2026 LOB IT Vendor List</t>
        </is>
      </c>
      <c r="Z647" s="153" t="inlineStr">
        <is>
          <t>Healthcare vendor credentialing and compliance management services</t>
        </is>
      </c>
      <c r="AA647" s="153" t="inlineStr">
        <is>
          <t>Supply Chain and Distribution</t>
        </is>
      </c>
      <c r="AB647" s="121">
        <f>VLOOKUP(AA647,CategorySummaryTable[],2,FALSE)</f>
        <v/>
      </c>
    </row>
    <row r="648" ht="64" customHeight="1" s="142">
      <c r="B648" s="111">
        <f>E648</f>
        <v/>
      </c>
      <c r="C648" t="inlineStr">
        <is>
          <t>IT consulting, application development, cloud, infrastructure, and business process services.</t>
        </is>
      </c>
      <c r="E648" t="inlineStr">
        <is>
          <t>Wipro Limited</t>
        </is>
      </c>
      <c r="Y648" s="153" t="inlineStr">
        <is>
          <t>2026 LOB IT Vendor List</t>
        </is>
      </c>
      <c r="Z648" s="153" t="inlineStr">
        <is>
          <t>IT consulting, application development, and outsourcing services</t>
        </is>
      </c>
      <c r="AA648" s="153" t="inlineStr">
        <is>
          <t>IT Operations</t>
        </is>
      </c>
      <c r="AB648" s="121">
        <f>VLOOKUP(AA648,CategorySummaryTable[],2,FALSE)</f>
        <v/>
      </c>
    </row>
    <row r="649" ht="80" customHeight="1" s="142">
      <c r="B649" s="111">
        <f>E649</f>
        <v/>
      </c>
      <c r="C649" t="inlineStr">
        <is>
          <t>Healthcare consulting and advisory services; public product details are limited.</t>
        </is>
      </c>
      <c r="E649" t="inlineStr">
        <is>
          <t>INSIGHT MEDICAL CONSULTING</t>
        </is>
      </c>
      <c r="Y649" s="153" t="inlineStr">
        <is>
          <t>2026 LOB IT Vendor List</t>
        </is>
      </c>
      <c r="Z649" s="153" t="inlineStr">
        <is>
          <t>NA</t>
        </is>
      </c>
      <c r="AA649" s="153" t="inlineStr">
        <is>
          <t>Medical Affairs</t>
        </is>
      </c>
      <c r="AB649" s="121">
        <f>VLOOKUP(AA649,CategorySummaryTable[],2,FALSE)</f>
        <v/>
      </c>
    </row>
    <row r="650" ht="64" customHeight="1" s="142">
      <c r="B650" s="111">
        <f>E650</f>
        <v/>
      </c>
      <c r="C650" t="inlineStr">
        <is>
          <t>IT consulting and business systems/software services; public details are limited.</t>
        </is>
      </c>
      <c r="E650" t="inlineStr">
        <is>
          <t>SYSTEMATICS LTD</t>
        </is>
      </c>
      <c r="Y650" s="153" t="inlineStr">
        <is>
          <t>2026 LOB IT Vendor List</t>
        </is>
      </c>
      <c r="Z650" s="153" t="inlineStr">
        <is>
          <t>Engineering and computing software reseller (CAD/PLM, GIS) with support services</t>
        </is>
      </c>
      <c r="AA650" s="153" t="inlineStr">
        <is>
          <t>IT Operations</t>
        </is>
      </c>
      <c r="AB650" s="121">
        <f>VLOOKUP(AA650,CategorySummaryTable[],2,FALSE)</f>
        <v/>
      </c>
    </row>
    <row r="651" ht="80" customHeight="1" s="142">
      <c r="B651" s="111">
        <f>E651</f>
        <v/>
      </c>
      <c r="C651" t="inlineStr">
        <is>
          <t>EHS, quality, regulatory, occupational health, and safety management software.</t>
        </is>
      </c>
      <c r="E651" t="inlineStr">
        <is>
          <t>CORITY SOFTWARE INC</t>
        </is>
      </c>
      <c r="Y651" s="153" t="inlineStr">
        <is>
          <t>2026 LOB IT Vendor List</t>
        </is>
      </c>
      <c r="Z651" s="153" t="inlineStr">
        <is>
          <t>Environmental, health, safety, and quality (EHS) management software</t>
        </is>
      </c>
      <c r="AA651" s="153" t="inlineStr">
        <is>
          <t>Compliance and Risk</t>
        </is>
      </c>
      <c r="AB651" s="121">
        <f>VLOOKUP(AA651,CategorySummaryTable[],2,FALSE)</f>
        <v/>
      </c>
    </row>
    <row r="652" ht="80" customHeight="1" s="142">
      <c r="B652" s="111">
        <f>E652</f>
        <v/>
      </c>
      <c r="C652" t="inlineStr">
        <is>
          <t>Tax advisory, compliance, recovery, and tax technology/software services.</t>
        </is>
      </c>
      <c r="E652" t="inlineStr">
        <is>
          <t>RYAN LLC</t>
        </is>
      </c>
      <c r="Y652" s="153" t="inlineStr">
        <is>
          <t>2026 LOB IT Vendor List</t>
        </is>
      </c>
      <c r="Z652" s="153" t="inlineStr">
        <is>
          <t>Tax advisory, compliance, and tax technology services</t>
        </is>
      </c>
      <c r="AA652" s="153" t="inlineStr">
        <is>
          <t>Finance</t>
        </is>
      </c>
      <c r="AB652" s="121">
        <f>VLOOKUP(AA652,CategorySummaryTable[],2,FALSE)</f>
        <v/>
      </c>
    </row>
    <row r="653" ht="64" customHeight="1" s="142">
      <c r="B653" s="111">
        <f>E653</f>
        <v/>
      </c>
      <c r="C653" t="inlineStr">
        <is>
          <t>Software engineering, digital transformation, cloud, data, and support services.</t>
        </is>
      </c>
      <c r="E653" t="inlineStr">
        <is>
          <t>PERSISTENT SYSTEMS LTD</t>
        </is>
      </c>
      <c r="Y653" s="153" t="inlineStr">
        <is>
          <t>2026 LOB IT Vendor List</t>
        </is>
      </c>
      <c r="Z653" s="153" t="inlineStr">
        <is>
          <t>Software engineering and digital transformation services</t>
        </is>
      </c>
      <c r="AA653" s="153" t="inlineStr">
        <is>
          <t>IT Operations</t>
        </is>
      </c>
      <c r="AB653" s="121">
        <f>VLOOKUP(AA653,CategorySummaryTable[],2,FALSE)</f>
        <v/>
      </c>
    </row>
    <row r="654" ht="64" customHeight="1" s="142">
      <c r="B654" s="111">
        <f>E654</f>
        <v/>
      </c>
      <c r="C654" t="inlineStr">
        <is>
          <t>Technology products or IT-related services; public details are limited.</t>
        </is>
      </c>
      <c r="E654" t="inlineStr">
        <is>
          <t>OT TECHNOLOGY INC</t>
        </is>
      </c>
      <c r="Y654" s="153" t="inlineStr">
        <is>
          <t>2026 LOB IT Vendor List</t>
        </is>
      </c>
      <c r="Z654" s="153" t="inlineStr">
        <is>
          <t>NA</t>
        </is>
      </c>
      <c r="AA654" s="153" t="inlineStr">
        <is>
          <t>IT Operations</t>
        </is>
      </c>
      <c r="AB654" s="121">
        <f>VLOOKUP(AA654,CategorySummaryTable[],2,FALSE)</f>
        <v/>
      </c>
    </row>
    <row r="655" ht="80" customHeight="1" s="142">
      <c r="B655" s="111">
        <f>E655</f>
        <v/>
      </c>
      <c r="C655" t="inlineStr">
        <is>
          <t>Quality assurance, validation, compliance, and related consulting/software services.</t>
        </is>
      </c>
      <c r="E655" t="inlineStr">
        <is>
          <t>COMPUTER INTEGRATION OF QUALITY ASSURANCE INC</t>
        </is>
      </c>
      <c r="Y655" s="153" t="inlineStr">
        <is>
          <t>2026 LOB IT Vendor List</t>
        </is>
      </c>
      <c r="Z655" s="153" t="inlineStr">
        <is>
          <t>NA</t>
        </is>
      </c>
      <c r="AA655" s="153" t="inlineStr">
        <is>
          <t>Quality and Validation</t>
        </is>
      </c>
      <c r="AB655" s="121">
        <f>VLOOKUP(AA655,CategorySummaryTable[],2,FALSE)</f>
        <v/>
      </c>
    </row>
    <row r="656" ht="80" customHeight="1" s="142">
      <c r="B656" s="111">
        <f>E656</f>
        <v/>
      </c>
      <c r="C656" t="inlineStr">
        <is>
          <t>Commercial intelligence and analytics software for medical device sales teams.</t>
        </is>
      </c>
      <c r="E656" t="inlineStr">
        <is>
          <t>ACUITYMD INC</t>
        </is>
      </c>
      <c r="Y656" s="153" t="inlineStr">
        <is>
          <t>2026 LOB IT Vendor List</t>
        </is>
      </c>
      <c r="Z656" s="153" t="inlineStr">
        <is>
          <t>Commercial intelligence and analytics software for medical device sales teams</t>
        </is>
      </c>
      <c r="AA656" s="153" t="inlineStr">
        <is>
          <t>Sales</t>
        </is>
      </c>
      <c r="AB656" s="121">
        <f>VLOOKUP(AA656,CategorySummaryTable[],2,FALSE)</f>
        <v/>
      </c>
    </row>
    <row r="657" ht="80" customHeight="1" s="142">
      <c r="B657" s="111">
        <f>E657</f>
        <v/>
      </c>
      <c r="C657" t="inlineStr">
        <is>
          <t>Data management, reporting, and IT support services; public details are limited.</t>
        </is>
      </c>
      <c r="E657" t="inlineStr">
        <is>
          <t>US DATA MANAGEMENT LLC</t>
        </is>
      </c>
      <c r="Y657" s="153" t="inlineStr">
        <is>
          <t>2026 LOB IT Vendor List</t>
        </is>
      </c>
      <c r="Z657" s="153" t="inlineStr">
        <is>
          <t>NA</t>
        </is>
      </c>
      <c r="AA657" s="153" t="inlineStr">
        <is>
          <t>Data and Analytics</t>
        </is>
      </c>
      <c r="AB657" s="121">
        <f>VLOOKUP(AA657,CategorySummaryTable[],2,FALSE)</f>
        <v/>
      </c>
    </row>
    <row r="658" ht="80" customHeight="1" s="142">
      <c r="B658" s="111">
        <f>E658</f>
        <v/>
      </c>
      <c r="C658" t="inlineStr">
        <is>
          <t>Data analytics, business intelligence, and planning/forecasting consulting services.</t>
        </is>
      </c>
      <c r="E658" t="inlineStr">
        <is>
          <t>TEGRA ANALYTICS LLC</t>
        </is>
      </c>
      <c r="Y658" s="153" t="inlineStr">
        <is>
          <t>2026 LOB IT Vendor List</t>
        </is>
      </c>
      <c r="Z658" s="153" t="inlineStr">
        <is>
          <t>NA</t>
        </is>
      </c>
      <c r="AA658" s="153" t="inlineStr">
        <is>
          <t>Data and Analytics</t>
        </is>
      </c>
      <c r="AB658" s="121">
        <f>VLOOKUP(AA658,CategorySummaryTable[],2,FALSE)</f>
        <v/>
      </c>
    </row>
    <row r="659" ht="64" customHeight="1" s="142">
      <c r="B659" s="111">
        <f>E659</f>
        <v/>
      </c>
      <c r="C659" t="inlineStr">
        <is>
          <t>IT consulting, training, and technical services; public details are limited.</t>
        </is>
      </c>
      <c r="E659" t="inlineStr">
        <is>
          <t>3 H TECHNOLOGY INSTITUTE LLC</t>
        </is>
      </c>
      <c r="Y659" s="153" t="inlineStr">
        <is>
          <t>2026 LOB IT Vendor List</t>
        </is>
      </c>
      <c r="Z659" s="153" t="inlineStr">
        <is>
          <t>NA</t>
        </is>
      </c>
      <c r="AA659" s="153" t="inlineStr">
        <is>
          <t>IT Operations</t>
        </is>
      </c>
      <c r="AB659" s="121">
        <f>VLOOKUP(AA659,CategorySummaryTable[],2,FALSE)</f>
        <v/>
      </c>
    </row>
    <row r="660" ht="80" customHeight="1" s="142">
      <c r="B660" s="111">
        <f>E660</f>
        <v/>
      </c>
      <c r="C660" t="inlineStr">
        <is>
          <t>E-commerce or digital commerce services; public details are limited.</t>
        </is>
      </c>
      <c r="E660" t="inlineStr">
        <is>
          <t>ANYWARE E COMMERCE LTD</t>
        </is>
      </c>
      <c r="Y660" s="153" t="inlineStr">
        <is>
          <t>2026 LOB IT Vendor List</t>
        </is>
      </c>
      <c r="Z660" s="153" t="inlineStr">
        <is>
          <t>Software reseller and licensing distribution provider</t>
        </is>
      </c>
      <c r="AA660" s="153" t="inlineStr">
        <is>
          <t>Marketing</t>
        </is>
      </c>
      <c r="AB660" s="121">
        <f>VLOOKUP(AA660,CategorySummaryTable[],2,FALSE)</f>
        <v/>
      </c>
    </row>
    <row r="661" ht="64" customHeight="1" s="142">
      <c r="B661" s="111">
        <f>E661</f>
        <v/>
      </c>
      <c r="C661" t="inlineStr">
        <is>
          <t>IT consulting, application services, cloud, infrastructure, and outsourcing services.</t>
        </is>
      </c>
      <c r="E661" t="inlineStr">
        <is>
          <t>NTT Data Enterprise</t>
        </is>
      </c>
      <c r="Y661" s="153" t="inlineStr">
        <is>
          <t>2026 LOB IT Vendor List</t>
        </is>
      </c>
      <c r="Z661" s="153" t="inlineStr">
        <is>
          <t>IT consulting, application, cloud, and infrastructure services</t>
        </is>
      </c>
      <c r="AA661" s="153" t="inlineStr">
        <is>
          <t>IT Operations</t>
        </is>
      </c>
      <c r="AB661" s="121">
        <f>VLOOKUP(AA661,CategorySummaryTable[],2,FALSE)</f>
        <v/>
      </c>
    </row>
    <row r="662" ht="80" customHeight="1" s="142">
      <c r="B662" s="111">
        <f>E662</f>
        <v/>
      </c>
      <c r="C662" t="inlineStr">
        <is>
          <t>Quality management and product development software for medical device companies.</t>
        </is>
      </c>
      <c r="E662" t="inlineStr">
        <is>
          <t>GREENLIGHT GURU</t>
        </is>
      </c>
      <c r="Y662" s="153" t="inlineStr">
        <is>
          <t>2026 LOB IT Vendor List</t>
        </is>
      </c>
      <c r="Z662" s="153" t="inlineStr">
        <is>
          <t>Quality management system (QMS) software for medical device companies</t>
        </is>
      </c>
      <c r="AA662" s="153" t="inlineStr">
        <is>
          <t>Quality and Validation</t>
        </is>
      </c>
      <c r="AB662" s="121">
        <f>VLOOKUP(AA662,CategorySummaryTable[],2,FALSE)</f>
        <v/>
      </c>
    </row>
    <row r="663" ht="80" customHeight="1" s="142">
      <c r="B663" s="111">
        <f>E663</f>
        <v/>
      </c>
      <c r="C663" t="inlineStr">
        <is>
          <t>Industry association offering education, events, standards, and networking services.</t>
        </is>
      </c>
      <c r="E663" t="inlineStr">
        <is>
          <t>ASSOCIATION FOR ADVANCING TISSUE AND BIOLOGICS</t>
        </is>
      </c>
      <c r="Y663" s="153" t="inlineStr">
        <is>
          <t>2026 LOB IT Vendor List</t>
        </is>
      </c>
      <c r="Z663" s="153" t="inlineStr">
        <is>
          <t>Industry trade association providing standards, accreditation, and education for tissue banking</t>
        </is>
      </c>
      <c r="AA663" s="153" t="inlineStr">
        <is>
          <t>Medical Affairs</t>
        </is>
      </c>
      <c r="AB663" s="121">
        <f>VLOOKUP(AA663,CategorySummaryTable[],2,FALSE)</f>
        <v/>
      </c>
    </row>
    <row r="664" ht="64" customHeight="1" s="142">
      <c r="B664" s="111">
        <f>E664</f>
        <v/>
      </c>
      <c r="C664" t="inlineStr">
        <is>
          <t>Records storage, digital archiving, document management, and information governance services.</t>
        </is>
      </c>
      <c r="E664" t="inlineStr">
        <is>
          <t>IRON MONTAIN</t>
        </is>
      </c>
      <c r="Y664" s="153" t="inlineStr">
        <is>
          <t>2026 LOB IT Vendor List</t>
        </is>
      </c>
      <c r="Z664" s="153" t="inlineStr">
        <is>
          <t>Records storage, digital archiving, and information management services</t>
        </is>
      </c>
      <c r="AA664" s="153" t="inlineStr">
        <is>
          <t>IT Operations</t>
        </is>
      </c>
      <c r="AB664" s="121">
        <f>VLOOKUP(AA664,CategorySummaryTable[],2,FALSE)</f>
        <v/>
      </c>
    </row>
    <row r="665" ht="64" customHeight="1" s="142">
      <c r="B665" s="111">
        <f>E665</f>
        <v/>
      </c>
      <c r="C665" t="inlineStr">
        <is>
          <t>Workplace management, desk/room booking, and space planning software.</t>
        </is>
      </c>
      <c r="E665" t="inlineStr">
        <is>
          <t>OFFICESPACE SOFTWARE</t>
        </is>
      </c>
      <c r="Y665" s="153" t="inlineStr">
        <is>
          <t>2026 LOB IT Vendor List</t>
        </is>
      </c>
      <c r="Z665" s="153" t="inlineStr">
        <is>
          <t>Workplace and space management software (desk/room booking, space planning)</t>
        </is>
      </c>
      <c r="AA665" s="153" t="inlineStr">
        <is>
          <t>IT Operations</t>
        </is>
      </c>
      <c r="AB665" s="121">
        <f>VLOOKUP(AA665,CategorySummaryTable[],2,FALSE)</f>
        <v/>
      </c>
    </row>
    <row r="666" ht="80" customHeight="1" s="142">
      <c r="B666" s="111">
        <f>E666</f>
        <v/>
      </c>
      <c r="C666" t="inlineStr">
        <is>
          <t>Tax, e-invoicing, compliance, and finance automation software/services.</t>
        </is>
      </c>
      <c r="E666" t="inlineStr">
        <is>
          <t>DEFMACRO SOFTWARE PRIVATE LTD</t>
        </is>
      </c>
      <c r="Y666" s="153" t="inlineStr">
        <is>
          <t>2026 LOB IT Vendor List</t>
        </is>
      </c>
      <c r="Z666" s="153" t="inlineStr">
        <is>
          <t>Tax compliance and e-invoicing software (ClearTax)</t>
        </is>
      </c>
      <c r="AA666" s="153" t="inlineStr">
        <is>
          <t>Finance</t>
        </is>
      </c>
      <c r="AB666" s="121">
        <f>VLOOKUP(AA666,CategorySummaryTable[],2,FALSE)</f>
        <v/>
      </c>
    </row>
    <row r="667" ht="80" customHeight="1" s="142">
      <c r="B667" s="111">
        <f>E667</f>
        <v/>
      </c>
      <c r="C667" t="inlineStr">
        <is>
          <t>CAD/CAM software for CNC programming, machining, and manufacturing.</t>
        </is>
      </c>
      <c r="E667" t="inlineStr">
        <is>
          <t>CNC SOFTWARE LLC MASTERCAM</t>
        </is>
      </c>
      <c r="Y667" s="153" t="inlineStr">
        <is>
          <t>2026 LOB IT Vendor List</t>
        </is>
      </c>
      <c r="Z667" s="153" t="inlineStr">
        <is>
          <t>CAD/CAM software for CNC programming and machining</t>
        </is>
      </c>
      <c r="AA667" s="153" t="inlineStr">
        <is>
          <t>Manufacturing</t>
        </is>
      </c>
      <c r="AB667" s="121">
        <f>VLOOKUP(AA667,CategorySummaryTable[],2,FALSE)</f>
        <v/>
      </c>
    </row>
    <row r="668" ht="80" customHeight="1" s="142">
      <c r="B668" s="111">
        <f>E668</f>
        <v/>
      </c>
      <c r="C668" t="inlineStr">
        <is>
          <t>Healthcare transparency, HCP/HCO data, and compliance software/services for life sciences.</t>
        </is>
      </c>
      <c r="E668" t="inlineStr">
        <is>
          <t>MEDPRO SYSTEMS LLC</t>
        </is>
      </c>
      <c r="Y668" s="153" t="inlineStr">
        <is>
          <t>2026 LOB IT Vendor List</t>
        </is>
      </c>
      <c r="Z668" s="153" t="inlineStr">
        <is>
          <t>Healthcare provider (HCP/HCO) license data and compliance software for life sciences</t>
        </is>
      </c>
      <c r="AA668" s="153" t="inlineStr">
        <is>
          <t>Compliance and Risk</t>
        </is>
      </c>
      <c r="AB668" s="121">
        <f>VLOOKUP(AA668,CategorySummaryTable[],2,FALSE)</f>
        <v/>
      </c>
    </row>
    <row r="669" ht="64" customHeight="1" s="142">
      <c r="B669" s="111">
        <f>E669</f>
        <v/>
      </c>
      <c r="C669" t="inlineStr">
        <is>
          <t>Business software and IT consulting/integration services; public details are limited.</t>
        </is>
      </c>
      <c r="E669" t="inlineStr">
        <is>
          <t>FINIT SOLUTIONS</t>
        </is>
      </c>
      <c r="Y669" s="153" t="inlineStr">
        <is>
          <t>2026 LOB IT Vendor List</t>
        </is>
      </c>
      <c r="Z669" s="153" t="inlineStr">
        <is>
          <t>NA</t>
        </is>
      </c>
      <c r="AA669" s="153" t="inlineStr">
        <is>
          <t>IT Operations</t>
        </is>
      </c>
      <c r="AB669" s="121">
        <f>VLOOKUP(AA669,CategorySummaryTable[],2,FALSE)</f>
        <v/>
      </c>
    </row>
    <row r="670" ht="96" customHeight="1" s="142">
      <c r="B670" s="111">
        <f>E670</f>
        <v/>
      </c>
      <c r="C670" t="inlineStr">
        <is>
          <t>Supply chain execution, supplier collaboration, logistics, and EDI software/services.</t>
        </is>
      </c>
      <c r="E670" t="inlineStr">
        <is>
          <t>TESISQUARE S P A</t>
        </is>
      </c>
      <c r="Y670" s="153" t="inlineStr">
        <is>
          <t>2026 LOB IT Vendor List</t>
        </is>
      </c>
      <c r="Z670" s="153" t="inlineStr">
        <is>
          <t>Supply chain collaboration and visibility software platform</t>
        </is>
      </c>
      <c r="AA670" s="153" t="inlineStr">
        <is>
          <t>Supply Chain and Distribution</t>
        </is>
      </c>
      <c r="AB670" s="121">
        <f>VLOOKUP(AA670,CategorySummaryTable[],2,FALSE)</f>
        <v/>
      </c>
    </row>
    <row r="671" ht="64" customHeight="1" s="142">
      <c r="B671" s="111">
        <f>E671</f>
        <v/>
      </c>
      <c r="C671" t="inlineStr">
        <is>
          <t>Technology or consulting services; public details are limited.</t>
        </is>
      </c>
      <c r="E671" t="inlineStr">
        <is>
          <t>HONEYCOMB SOLUTIONS</t>
        </is>
      </c>
      <c r="Y671" s="153" t="inlineStr">
        <is>
          <t>2026 LOB IT Vendor List</t>
        </is>
      </c>
      <c r="Z671" s="153" t="inlineStr">
        <is>
          <t>NA</t>
        </is>
      </c>
      <c r="AA671" s="153" t="inlineStr">
        <is>
          <t>IT Operations</t>
        </is>
      </c>
      <c r="AB671" s="121">
        <f>VLOOKUP(AA671,CategorySummaryTable[],2,FALSE)</f>
        <v/>
      </c>
    </row>
    <row r="672" ht="96" customHeight="1" s="142">
      <c r="B672" s="111">
        <f>E672</f>
        <v/>
      </c>
      <c r="C672" t="inlineStr">
        <is>
          <t>Regulatory publishing, submission, or life sciences information-management software/services.</t>
        </is>
      </c>
      <c r="E672" t="inlineStr">
        <is>
          <t>VISIONICE GMBH</t>
        </is>
      </c>
      <c r="Y672" s="153" t="inlineStr">
        <is>
          <t>2026 LOB IT Vendor List</t>
        </is>
      </c>
      <c r="Z672" s="153" t="inlineStr">
        <is>
          <t>NA</t>
        </is>
      </c>
      <c r="AA672" s="153" t="inlineStr">
        <is>
          <t>Regulatory Affairs</t>
        </is>
      </c>
      <c r="AB672" s="121">
        <f>VLOOKUP(AA672,CategorySummaryTable[],2,FALSE)</f>
        <v/>
      </c>
    </row>
    <row r="673" ht="80" customHeight="1" s="142">
      <c r="B673" s="111">
        <f>E673</f>
        <v/>
      </c>
      <c r="C673" t="inlineStr">
        <is>
          <t>Electronics technology products and related technical services.</t>
        </is>
      </c>
      <c r="E673" t="inlineStr">
        <is>
          <t>上海夏焱电子科技有限公司</t>
        </is>
      </c>
      <c r="Y673" s="153" t="inlineStr">
        <is>
          <t>2026 LOB IT Vendor List</t>
        </is>
      </c>
      <c r="Z673" s="153" t="inlineStr">
        <is>
          <t>NA</t>
        </is>
      </c>
      <c r="AA673" s="153" t="inlineStr">
        <is>
          <t>Clinical Manufacturing Process</t>
        </is>
      </c>
      <c r="AB673" s="121">
        <f>VLOOKUP(AA673,CategorySummaryTable[],2,FALSE)</f>
        <v/>
      </c>
    </row>
    <row r="674" ht="80" customHeight="1" s="142">
      <c r="B674" s="111">
        <f>E674</f>
        <v/>
      </c>
      <c r="C674" t="inlineStr">
        <is>
          <t>Industrial or machinery products and related service/support.</t>
        </is>
      </c>
      <c r="E674" t="inlineStr">
        <is>
          <t>HOHENFORST MACHINERY CO</t>
        </is>
      </c>
      <c r="Y674" s="153" t="inlineStr">
        <is>
          <t>2026 LOB IT Vendor List</t>
        </is>
      </c>
      <c r="Z674" s="153" t="inlineStr">
        <is>
          <t>NA</t>
        </is>
      </c>
      <c r="AA674" s="153" t="inlineStr">
        <is>
          <t>Clinical Manufacturing Process</t>
        </is>
      </c>
      <c r="AB674" s="121">
        <f>VLOOKUP(AA674,CategorySummaryTable[],2,FALSE)</f>
        <v/>
      </c>
    </row>
    <row r="675" ht="64" customHeight="1" s="142">
      <c r="B675" s="111">
        <f>E675</f>
        <v/>
      </c>
      <c r="C675" t="inlineStr">
        <is>
          <t>Technical or IT-related products/services; public details are limited.</t>
        </is>
      </c>
      <c r="E675" t="inlineStr">
        <is>
          <t>THT LTD</t>
        </is>
      </c>
      <c r="Y675" s="153" t="inlineStr">
        <is>
          <t>2026 LOB IT Vendor List</t>
        </is>
      </c>
      <c r="Z675" s="153" t="inlineStr">
        <is>
          <t>NA</t>
        </is>
      </c>
      <c r="AA675" s="153" t="inlineStr">
        <is>
          <t>IT Operations</t>
        </is>
      </c>
      <c r="AB675" s="121">
        <f>VLOOKUP(AA675,CategorySummaryTable[],2,FALSE)</f>
        <v/>
      </c>
    </row>
    <row r="676" ht="64" customHeight="1" s="142">
      <c r="B676" s="111">
        <f>E676</f>
        <v/>
      </c>
      <c r="C676" t="inlineStr">
        <is>
          <t>Printers, multifunction devices, document workflow, and managed print services.</t>
        </is>
      </c>
      <c r="E676" t="inlineStr">
        <is>
          <t>富士ﾌｲﾙﾑﾋﾞｼﾞﾈｽｲﾉﾍﾞ-ｼｮﾝ株式会社</t>
        </is>
      </c>
      <c r="Y676" s="153" t="inlineStr">
        <is>
          <t>2026 LOB IT Vendor List</t>
        </is>
      </c>
      <c r="Z676" s="153" t="inlineStr">
        <is>
          <t>Printers, multifunction devices, and managed print/document services</t>
        </is>
      </c>
      <c r="AA676" s="153" t="inlineStr">
        <is>
          <t>IT Operations</t>
        </is>
      </c>
      <c r="AB676" s="121">
        <f>VLOOKUP(AA676,CategorySummaryTable[],2,FALSE)</f>
        <v/>
      </c>
    </row>
    <row r="677" ht="64" customHeight="1" s="142">
      <c r="B677" s="111">
        <f>E677</f>
        <v/>
      </c>
      <c r="C677" t="inlineStr">
        <is>
          <t>IT products, professional services, configuration, AV, and surveillance solutions.</t>
        </is>
      </c>
      <c r="E677" t="inlineStr">
        <is>
          <t>NISHA PRO SOFTWARE CONSULTANTS LTD</t>
        </is>
      </c>
      <c r="Y677" s="153" t="inlineStr">
        <is>
          <t>2026 LOB IT Vendor List</t>
        </is>
      </c>
      <c r="Z677" s="153" t="inlineStr">
        <is>
          <t>NA</t>
        </is>
      </c>
      <c r="AA677" s="153" t="inlineStr">
        <is>
          <t>IT Operations</t>
        </is>
      </c>
      <c r="AB677" s="121">
        <f>VLOOKUP(AA677,CategorySummaryTable[],2,FALSE)</f>
        <v/>
      </c>
    </row>
    <row r="678" ht="80" customHeight="1" s="142">
      <c r="B678" s="111">
        <f>E678</f>
        <v/>
      </c>
      <c r="C678" t="inlineStr">
        <is>
          <t>Business credit data, supplier risk, company intelligence, and analytics services.</t>
        </is>
      </c>
      <c r="E678" t="inlineStr">
        <is>
          <t>DUN AND BRADSTREET</t>
        </is>
      </c>
      <c r="Y678" s="153" t="inlineStr">
        <is>
          <t>2026 LOB IT Vendor List</t>
        </is>
      </c>
      <c r="Z678" s="153" t="inlineStr">
        <is>
          <t>Business credit data, company intelligence, and risk analytics services</t>
        </is>
      </c>
      <c r="AA678" s="153" t="inlineStr">
        <is>
          <t>Data and Analytics</t>
        </is>
      </c>
      <c r="AB678" s="121">
        <f>VLOOKUP(AA678,CategorySummaryTable[],2,FALSE)</f>
        <v/>
      </c>
    </row>
    <row r="679" ht="64" customHeight="1" s="142">
      <c r="B679" s="111">
        <f>E679</f>
        <v/>
      </c>
      <c r="C679" t="inlineStr">
        <is>
          <t>IT systems integration and support services; public details are limited.</t>
        </is>
      </c>
      <c r="E679" t="inlineStr">
        <is>
          <t>PARALLEL SYSTEMS LIMITED</t>
        </is>
      </c>
      <c r="Y679" s="153" t="inlineStr">
        <is>
          <t>2026 LOB IT Vendor List</t>
        </is>
      </c>
      <c r="Z679" s="153" t="inlineStr">
        <is>
          <t>NA</t>
        </is>
      </c>
      <c r="AA679" s="153" t="inlineStr">
        <is>
          <t>IT Operations</t>
        </is>
      </c>
      <c r="AB679" s="121">
        <f>VLOOKUP(AA679,CategorySummaryTable[],2,FALSE)</f>
        <v/>
      </c>
    </row>
    <row r="680" ht="96" customHeight="1" s="142">
      <c r="B680" s="111">
        <f>E680</f>
        <v/>
      </c>
      <c r="C680" t="inlineStr">
        <is>
          <t>Trade finance digitization, letters of credit, bank guarantee, and document-processing services.</t>
        </is>
      </c>
      <c r="E680" t="inlineStr">
        <is>
          <t>TRADE TECHNOLOGIES INC</t>
        </is>
      </c>
      <c r="Y680" s="153" t="inlineStr">
        <is>
          <t>2026 LOB IT Vendor List</t>
        </is>
      </c>
      <c r="Z680" s="153" t="inlineStr">
        <is>
          <t>Trade documentation and trade finance digitization software/services</t>
        </is>
      </c>
      <c r="AA680" s="153" t="inlineStr">
        <is>
          <t>Supply Chain and Distribution</t>
        </is>
      </c>
      <c r="AB680" s="121">
        <f>VLOOKUP(AA680,CategorySummaryTable[],2,FALSE)</f>
        <v/>
      </c>
    </row>
    <row r="681" ht="80" customHeight="1" s="142">
      <c r="B681" s="111">
        <f>E681</f>
        <v/>
      </c>
      <c r="C681" t="inlineStr">
        <is>
          <t>Pharmaceutical or healthcare-related products/services; public details are limited.</t>
        </is>
      </c>
      <c r="E681" t="inlineStr">
        <is>
          <t>EUROPHARMATIC SAS</t>
        </is>
      </c>
      <c r="Y681" s="153" t="inlineStr">
        <is>
          <t>2026 LOB IT Vendor List</t>
        </is>
      </c>
      <c r="Z681" s="153" t="inlineStr">
        <is>
          <t>NA</t>
        </is>
      </c>
      <c r="AA681" s="153" t="inlineStr">
        <is>
          <t>Medical Affairs</t>
        </is>
      </c>
      <c r="AB681" s="121">
        <f>VLOOKUP(AA681,CategorySummaryTable[],2,FALSE)</f>
        <v/>
      </c>
    </row>
    <row r="682" ht="80" customHeight="1" s="142">
      <c r="B682" s="111">
        <f>E682</f>
        <v/>
      </c>
      <c r="C682" t="inlineStr">
        <is>
          <t>Research administration and grant/financial tracking software/services.</t>
        </is>
      </c>
      <c r="E682" t="inlineStr">
        <is>
          <t>RESEARCH APPLICATION AND FINANCIAL TRACKING INC</t>
        </is>
      </c>
      <c r="Y682" s="153" t="inlineStr">
        <is>
          <t>2026 LOB IT Vendor List</t>
        </is>
      </c>
      <c r="Z682" s="153" t="inlineStr">
        <is>
          <t>NA</t>
        </is>
      </c>
      <c r="AA682" s="153" t="inlineStr">
        <is>
          <t>Finance</t>
        </is>
      </c>
      <c r="AB682" s="121">
        <f>VLOOKUP(AA682,CategorySummaryTable[],2,FALSE)</f>
        <v/>
      </c>
    </row>
    <row r="683" ht="64" customHeight="1" s="142">
      <c r="B683" s="111">
        <f>E683</f>
        <v/>
      </c>
      <c r="C683" t="inlineStr">
        <is>
          <t>Information technology services and software; public details are limited.</t>
        </is>
      </c>
      <c r="E683" t="inlineStr">
        <is>
          <t>上海联诺信息技术有限公司</t>
        </is>
      </c>
      <c r="Y683" s="153" t="inlineStr">
        <is>
          <t>2026 LOB IT Vendor List</t>
        </is>
      </c>
      <c r="Z683" s="153" t="inlineStr">
        <is>
          <t>NA</t>
        </is>
      </c>
      <c r="AA683" s="153" t="inlineStr">
        <is>
          <t>IT Operations</t>
        </is>
      </c>
      <c r="AB683" s="121">
        <f>VLOOKUP(AA683,CategorySummaryTable[],2,FALSE)</f>
        <v/>
      </c>
    </row>
    <row r="684" ht="64" customHeight="1" s="142">
      <c r="B684" s="111">
        <f>E684</f>
        <v/>
      </c>
      <c r="C684" t="inlineStr">
        <is>
          <t>Consulting and business/IT services; public details are limited.</t>
        </is>
      </c>
      <c r="E684" t="inlineStr">
        <is>
          <t>CSC CONSULTING INC</t>
        </is>
      </c>
      <c r="Y684" s="153" t="inlineStr">
        <is>
          <t>2026 LOB IT Vendor List</t>
        </is>
      </c>
      <c r="Z684" s="153" t="inlineStr">
        <is>
          <t>NA</t>
        </is>
      </c>
      <c r="AA684" s="153" t="inlineStr">
        <is>
          <t>IT Operations</t>
        </is>
      </c>
      <c r="AB684" s="121">
        <f>VLOOKUP(AA684,CategorySummaryTable[],2,FALSE)</f>
        <v/>
      </c>
    </row>
    <row r="685" ht="80" customHeight="1" s="142">
      <c r="B685" s="111">
        <f>E685</f>
        <v/>
      </c>
      <c r="C685" t="inlineStr">
        <is>
          <t>Market research reports, industry analysis, and consulting services.</t>
        </is>
      </c>
      <c r="E685" t="inlineStr">
        <is>
          <t>GRAND VIEW RESEARCH INC</t>
        </is>
      </c>
      <c r="Y685" s="153" t="inlineStr">
        <is>
          <t>2026 LOB IT Vendor List</t>
        </is>
      </c>
      <c r="Z685" s="153" t="inlineStr">
        <is>
          <t>Market research reports and industry analysis services</t>
        </is>
      </c>
      <c r="AA685" s="153" t="inlineStr">
        <is>
          <t>Data and Analytics</t>
        </is>
      </c>
      <c r="AB685" s="121">
        <f>VLOOKUP(AA685,CategorySummaryTable[],2,FALSE)</f>
        <v/>
      </c>
    </row>
    <row r="686" ht="80" customHeight="1" s="142">
      <c r="B686" s="111">
        <f>E686</f>
        <v/>
      </c>
      <c r="C686" t="inlineStr">
        <is>
          <t>Audit, tax, consulting, risk, and advisory services.</t>
        </is>
      </c>
      <c r="E686" t="inlineStr">
        <is>
          <t>PRICEWATERHOUSECOOPERS LTD</t>
        </is>
      </c>
      <c r="Y686" s="153" t="inlineStr">
        <is>
          <t>2026 LOB IT Vendor List</t>
        </is>
      </c>
      <c r="Z686" s="153" t="inlineStr">
        <is>
          <t>Audit, tax, consulting, and advisory services</t>
        </is>
      </c>
      <c r="AA686" s="153" t="inlineStr">
        <is>
          <t>Finance</t>
        </is>
      </c>
      <c r="AB686" s="121">
        <f>VLOOKUP(AA686,CategorySummaryTable[],2,FALSE)</f>
        <v/>
      </c>
    </row>
    <row r="687" ht="80" customHeight="1" s="142">
      <c r="B687" s="111">
        <f>E687</f>
        <v/>
      </c>
      <c r="C687" t="inlineStr">
        <is>
          <t>Medical and safety equipment plus maintenance, service, and training.</t>
        </is>
      </c>
      <c r="E687" t="inlineStr">
        <is>
          <t>DRAGER SCHWEIZ AG</t>
        </is>
      </c>
      <c r="Y687" s="153" t="inlineStr">
        <is>
          <t>2026 LOB IT Vendor List</t>
        </is>
      </c>
      <c r="Z687" s="153" t="inlineStr">
        <is>
          <t>Medical and safety equipment with related maintenance and service</t>
        </is>
      </c>
      <c r="AA687" s="153" t="inlineStr">
        <is>
          <t>Clinical Manufacturing Process</t>
        </is>
      </c>
      <c r="AB687" s="121">
        <f>VLOOKUP(AA687,CategorySummaryTable[],2,FALSE)</f>
        <v/>
      </c>
    </row>
    <row r="688" ht="80" customHeight="1" s="142">
      <c r="B688" s="111">
        <f>E688</f>
        <v/>
      </c>
      <c r="C688" t="inlineStr">
        <is>
          <t>Tax invoicing, enterprise software, and IT services (Aisino/Aerospace Information).</t>
        </is>
      </c>
      <c r="E688" t="inlineStr">
        <is>
          <t>上海爱信诺航天信息有限公司</t>
        </is>
      </c>
      <c r="Y688" s="153" t="inlineStr">
        <is>
          <t>2026 LOB IT Vendor List</t>
        </is>
      </c>
      <c r="Z688" s="153" t="inlineStr">
        <is>
          <t>Chinese Golden Tax VAT invoicing and tax compliance software (Aisino)</t>
        </is>
      </c>
      <c r="AA688" s="153" t="inlineStr">
        <is>
          <t>Finance</t>
        </is>
      </c>
      <c r="AB688" s="121">
        <f>VLOOKUP(AA688,CategorySummaryTable[],2,FALSE)</f>
        <v/>
      </c>
    </row>
    <row r="689" ht="80" customHeight="1" s="142">
      <c r="B689" s="111">
        <f>E689</f>
        <v/>
      </c>
      <c r="C689" t="inlineStr">
        <is>
          <t>Research databases, journals, discovery services, and library information services.</t>
        </is>
      </c>
      <c r="E689" t="inlineStr">
        <is>
          <t>EBSCO INFORMATION SERVICES</t>
        </is>
      </c>
      <c r="Y689" s="153" t="inlineStr">
        <is>
          <t>2026 LOB IT Vendor List</t>
        </is>
      </c>
      <c r="Z689" s="153" t="inlineStr">
        <is>
          <t>Research databases, journals, and library/discovery information services</t>
        </is>
      </c>
      <c r="AA689" s="153" t="inlineStr">
        <is>
          <t>Data and Analytics</t>
        </is>
      </c>
      <c r="AB689" s="121">
        <f>VLOOKUP(AA689,CategorySummaryTable[],2,FALSE)</f>
        <v/>
      </c>
    </row>
    <row r="690" ht="64" customHeight="1" s="142">
      <c r="B690" s="111">
        <f>E690</f>
        <v/>
      </c>
      <c r="C690" t="inlineStr">
        <is>
          <t>Individual or small-business consulting/vendor relationship; public details are not readily verifiable.</t>
        </is>
      </c>
      <c r="E690" t="inlineStr">
        <is>
          <t>BACILE SALVATORE</t>
        </is>
      </c>
      <c r="Y690" s="153" t="inlineStr">
        <is>
          <t>2026 LOB IT Vendor List</t>
        </is>
      </c>
      <c r="Z690" s="153" t="inlineStr">
        <is>
          <t>NA</t>
        </is>
      </c>
      <c r="AA690" s="153" t="inlineStr">
        <is>
          <t>IT Operations</t>
        </is>
      </c>
      <c r="AB690" s="121">
        <f>VLOOKUP(AA690,CategorySummaryTable[],2,FALSE)</f>
        <v/>
      </c>
    </row>
    <row r="691" ht="64" customHeight="1" s="142">
      <c r="B691" s="111">
        <f>E691</f>
        <v/>
      </c>
      <c r="C691" t="inlineStr">
        <is>
          <t>IT or software support/consulting services; public details are limited.</t>
        </is>
      </c>
      <c r="E691" t="inlineStr">
        <is>
          <t>M K INFOSOLUTIONS</t>
        </is>
      </c>
      <c r="Y691" s="153" t="inlineStr">
        <is>
          <t>2026 LOB IT Vendor List</t>
        </is>
      </c>
      <c r="Z691" s="153" t="inlineStr">
        <is>
          <t>NA</t>
        </is>
      </c>
      <c r="AA691" s="153" t="inlineStr">
        <is>
          <t>IT Operations</t>
        </is>
      </c>
      <c r="AB691" s="121">
        <f>VLOOKUP(AA691,CategorySummaryTable[],2,FALSE)</f>
        <v/>
      </c>
    </row>
    <row r="692" ht="64" customHeight="1" s="142">
      <c r="B692" s="111">
        <f>E692</f>
        <v/>
      </c>
      <c r="C692" t="inlineStr">
        <is>
          <t>Business software or IT consulting services; public details are limited.</t>
        </is>
      </c>
      <c r="E692" t="inlineStr">
        <is>
          <t>BUSINESS LOGICS GMBH</t>
        </is>
      </c>
      <c r="Y692" s="153" t="inlineStr">
        <is>
          <t>2026 LOB IT Vendor List</t>
        </is>
      </c>
      <c r="Z692" s="153" t="inlineStr">
        <is>
          <t>NA</t>
        </is>
      </c>
      <c r="AA692" s="153" t="inlineStr">
        <is>
          <t>IT Operations</t>
        </is>
      </c>
      <c r="AB692" s="121">
        <f>VLOOKUP(AA692,CategorySummaryTable[],2,FALSE)</f>
        <v/>
      </c>
    </row>
  </sheetData>
  <autoFilter ref="B2:AB692"/>
  <mergeCells count="7">
    <mergeCell ref="I1:O1"/>
    <mergeCell ref="Q1:R1"/>
    <mergeCell ref="G1:H1"/>
    <mergeCell ref="E1:F1"/>
    <mergeCell ref="S1:T1"/>
    <mergeCell ref="U1:V1"/>
    <mergeCell ref="A1:A2"/>
  </mergeCells>
  <conditionalFormatting sqref="D3:D1048576">
    <cfRule type="cellIs" priority="1" operator="equal" dxfId="10">
      <formula>"Inactive"</formula>
    </cfRule>
    <cfRule type="cellIs" priority="2" operator="equal" dxfId="9">
      <formula>"Active"</formula>
    </cfRule>
    <cfRule type="cellIs" priority="3" operator="equal" dxfId="8">
      <formula>"Unknown"</formula>
    </cfRule>
    <cfRule type="cellIs" priority="4" operator="equal" dxfId="6">
      <formula>"Older Version"</formula>
    </cfRule>
    <cfRule type="cellIs" priority="5" operator="equal" dxfId="6">
      <formula>"Duplicate"</formula>
    </cfRule>
    <cfRule type="cellIs" priority="6" operator="equal" dxfId="5">
      <formula>"Decommissioned"</formula>
    </cfRule>
  </conditionalFormatting>
  <conditionalFormatting sqref="H2:K2 H3:J1048576 M2:P2">
    <cfRule type="expression" priority="7" dxfId="4">
      <formula>$G:$G="Global"</formula>
    </cfRule>
  </conditionalFormatting>
  <dataValidations count="9">
    <dataValidation sqref="Q3:Q1048576" showDropDown="0" showInputMessage="1" showErrorMessage="1" allowBlank="1" type="list">
      <formula1>"Yes, No, Unknown"</formula1>
    </dataValidation>
    <dataValidation sqref="L2:L1048576 N3:N1048576" showDropDown="0" showInputMessage="1" showErrorMessage="1" allowBlank="1" type="list">
      <formula1>"Yes, No"</formula1>
    </dataValidation>
    <dataValidation sqref="K3:K1048576" showDropDown="0" showInputMessage="1" showErrorMessage="1" allowBlank="1" type="list">
      <formula1>"On Premises (Client/Server), Desktop, via Intune, Web/Browser, Other (in comments)"</formula1>
    </dataValidation>
    <dataValidation sqref="G3:G1048576" showDropDown="0" showInputMessage="1" showErrorMessage="1" allowBlank="1" type="list">
      <formula1>"Enterprise, Regional, Site Specific "</formula1>
    </dataValidation>
    <dataValidation sqref="M3:M1048576" showDropDown="0" showInputMessage="1" showErrorMessage="1" allowBlank="1" type="list">
      <formula1>"Not Supported, Supported and Integrated, Supported and Not Integrated"</formula1>
    </dataValidation>
    <dataValidation sqref="J3:J1048576" showDropDown="0" showInputMessage="1" showErrorMessage="1" allowBlank="1" type="list">
      <formula1>"Azure, OCI, AWS, Other"</formula1>
    </dataValidation>
    <dataValidation sqref="O3:O1048576" showDropDown="0" showInputMessage="1" showErrorMessage="1" allowBlank="1" type="list">
      <formula1>"Kerberos, LDAP, SAML, Oauth, RADIUS, NTLM, Others"</formula1>
    </dataValidation>
    <dataValidation sqref="D3:D1048576" showDropDown="0" showInputMessage="1" showErrorMessage="1" allowBlank="0" type="list">
      <formula1>"Unknown, Not Started, Setup In Progress, Active, Decommissioned, Duplicate, Inactive (Data Retained for Compliance Purposes)"</formula1>
    </dataValidation>
    <dataValidation sqref="Q1:R1" showDropDown="0" showInputMessage="1" showErrorMessage="1" allowBlank="1"/>
  </dataValidations>
  <hyperlinks>
    <hyperlink xmlns:r="http://schemas.openxmlformats.org/officeDocument/2006/relationships" ref="B184" r:id="rId1"/>
    <hyperlink xmlns:r="http://schemas.openxmlformats.org/officeDocument/2006/relationships" ref="B185" r:id="rId2"/>
    <hyperlink xmlns:r="http://schemas.openxmlformats.org/officeDocument/2006/relationships" ref="B186" r:id="rId3"/>
    <hyperlink xmlns:r="http://schemas.openxmlformats.org/officeDocument/2006/relationships" ref="B190" r:id="rId4"/>
    <hyperlink xmlns:r="http://schemas.openxmlformats.org/officeDocument/2006/relationships" ref="B193" display="GENESIS SPECTRUM" r:id="rId5"/>
    <hyperlink xmlns:r="http://schemas.openxmlformats.org/officeDocument/2006/relationships" ref="B204" r:id="rId6"/>
    <hyperlink xmlns:r="http://schemas.openxmlformats.org/officeDocument/2006/relationships" ref="B207" r:id="rId7"/>
    <hyperlink xmlns:r="http://schemas.openxmlformats.org/officeDocument/2006/relationships" ref="B220" r:id="rId8"/>
    <hyperlink xmlns:r="http://schemas.openxmlformats.org/officeDocument/2006/relationships" ref="B225" r:id="rId9"/>
    <hyperlink xmlns:r="http://schemas.openxmlformats.org/officeDocument/2006/relationships" ref="B227" display="ImageJ " r:id="rId10"/>
    <hyperlink xmlns:r="http://schemas.openxmlformats.org/officeDocument/2006/relationships" ref="B233" r:id="rId11"/>
    <hyperlink xmlns:r="http://schemas.openxmlformats.org/officeDocument/2006/relationships" ref="B247" r:id="rId12"/>
    <hyperlink xmlns:r="http://schemas.openxmlformats.org/officeDocument/2006/relationships" ref="B252" display="KALLIK" r:id="rId13"/>
    <hyperlink xmlns:r="http://schemas.openxmlformats.org/officeDocument/2006/relationships" ref="B253" display="KALLIK" r:id="rId14"/>
    <hyperlink xmlns:r="http://schemas.openxmlformats.org/officeDocument/2006/relationships" ref="B257" display="KISS (Kiln Interface Software System)" r:id="rId15"/>
    <hyperlink xmlns:r="http://schemas.openxmlformats.org/officeDocument/2006/relationships" ref="B278" r:id="rId16"/>
    <hyperlink xmlns:r="http://schemas.openxmlformats.org/officeDocument/2006/relationships" ref="B279" r:id="rId17"/>
    <hyperlink xmlns:r="http://schemas.openxmlformats.org/officeDocument/2006/relationships" ref="B282" r:id="rId18"/>
    <hyperlink xmlns:r="http://schemas.openxmlformats.org/officeDocument/2006/relationships" ref="B283" display="LRN" r:id="rId19"/>
    <hyperlink xmlns:r="http://schemas.openxmlformats.org/officeDocument/2006/relationships" ref="B284" r:id="rId20"/>
    <hyperlink xmlns:r="http://schemas.openxmlformats.org/officeDocument/2006/relationships" ref="B289" display="LYOMANAGER II" r:id="rId21"/>
    <hyperlink xmlns:r="http://schemas.openxmlformats.org/officeDocument/2006/relationships" ref="B297" r:id="rId22"/>
    <hyperlink xmlns:r="http://schemas.openxmlformats.org/officeDocument/2006/relationships" ref="B298" r:id="rId23"/>
    <hyperlink xmlns:r="http://schemas.openxmlformats.org/officeDocument/2006/relationships" ref="B303" r:id="rId24"/>
    <hyperlink xmlns:r="http://schemas.openxmlformats.org/officeDocument/2006/relationships" ref="B322" r:id="rId25"/>
    <hyperlink xmlns:r="http://schemas.openxmlformats.org/officeDocument/2006/relationships" ref="B326" r:id="rId26"/>
    <hyperlink xmlns:r="http://schemas.openxmlformats.org/officeDocument/2006/relationships" ref="B339" r:id="rId27"/>
    <hyperlink xmlns:r="http://schemas.openxmlformats.org/officeDocument/2006/relationships" ref="B347" location="/INQSOF018" r:id="rId28"/>
    <hyperlink xmlns:r="http://schemas.openxmlformats.org/officeDocument/2006/relationships" ref="B349" r:id="rId29"/>
    <hyperlink xmlns:r="http://schemas.openxmlformats.org/officeDocument/2006/relationships" ref="B360" display="ORACLE R12" r:id="rId30"/>
    <hyperlink xmlns:r="http://schemas.openxmlformats.org/officeDocument/2006/relationships" ref="B362" r:id="rId31"/>
    <hyperlink xmlns:r="http://schemas.openxmlformats.org/officeDocument/2006/relationships" ref="B367" r:id="rId32"/>
    <hyperlink xmlns:r="http://schemas.openxmlformats.org/officeDocument/2006/relationships" ref="B369" r:id="rId33"/>
    <hyperlink xmlns:r="http://schemas.openxmlformats.org/officeDocument/2006/relationships" ref="B370" r:id="rId34"/>
    <hyperlink xmlns:r="http://schemas.openxmlformats.org/officeDocument/2006/relationships" ref="B372" r:id="rId35"/>
    <hyperlink xmlns:r="http://schemas.openxmlformats.org/officeDocument/2006/relationships" ref="B373" display="PDF Creator" r:id="rId36"/>
    <hyperlink xmlns:r="http://schemas.openxmlformats.org/officeDocument/2006/relationships" ref="B380" display="PFV " r:id="rId37"/>
    <hyperlink xmlns:r="http://schemas.openxmlformats.org/officeDocument/2006/relationships" ref="B404" r:id="rId38"/>
    <hyperlink xmlns:r="http://schemas.openxmlformats.org/officeDocument/2006/relationships" ref="B415" r:id="rId39"/>
    <hyperlink xmlns:r="http://schemas.openxmlformats.org/officeDocument/2006/relationships" ref="B417" r:id="rId40"/>
    <hyperlink xmlns:r="http://schemas.openxmlformats.org/officeDocument/2006/relationships" ref="B419" r:id="rId41"/>
    <hyperlink xmlns:r="http://schemas.openxmlformats.org/officeDocument/2006/relationships" ref="B422" r:id="rId42"/>
    <hyperlink xmlns:r="http://schemas.openxmlformats.org/officeDocument/2006/relationships" ref="B437" r:id="rId43"/>
    <hyperlink xmlns:r="http://schemas.openxmlformats.org/officeDocument/2006/relationships" ref="B439" r:id="rId44"/>
    <hyperlink xmlns:r="http://schemas.openxmlformats.org/officeDocument/2006/relationships" ref="B440" r:id="rId45"/>
    <hyperlink xmlns:r="http://schemas.openxmlformats.org/officeDocument/2006/relationships" ref="B447" r:id="rId46"/>
    <hyperlink xmlns:r="http://schemas.openxmlformats.org/officeDocument/2006/relationships" ref="B453" r:id="rId47"/>
    <hyperlink xmlns:r="http://schemas.openxmlformats.org/officeDocument/2006/relationships" ref="B468" r:id="rId48"/>
    <hyperlink xmlns:r="http://schemas.openxmlformats.org/officeDocument/2006/relationships" ref="B471" location="gref" r:id="rId49"/>
    <hyperlink xmlns:r="http://schemas.openxmlformats.org/officeDocument/2006/relationships" ref="B492" r:id="rId50"/>
    <hyperlink xmlns:r="http://schemas.openxmlformats.org/officeDocument/2006/relationships" ref="B497" r:id="rId51"/>
    <hyperlink xmlns:r="http://schemas.openxmlformats.org/officeDocument/2006/relationships" ref="B498" r:id="rId52"/>
    <hyperlink xmlns:r="http://schemas.openxmlformats.org/officeDocument/2006/relationships" ref="B500" r:id="rId53"/>
    <hyperlink xmlns:r="http://schemas.openxmlformats.org/officeDocument/2006/relationships" ref="B520" r:id="rId54"/>
    <hyperlink xmlns:r="http://schemas.openxmlformats.org/officeDocument/2006/relationships" ref="B534" r:id="rId55"/>
    <hyperlink xmlns:r="http://schemas.openxmlformats.org/officeDocument/2006/relationships" ref="B536" r:id="rId56"/>
    <hyperlink xmlns:r="http://schemas.openxmlformats.org/officeDocument/2006/relationships" ref="B551" r:id="rId57"/>
    <hyperlink xmlns:r="http://schemas.openxmlformats.org/officeDocument/2006/relationships" ref="B566" r:id="rId58"/>
  </hyperlinks>
  <pageMargins left="0.7" right="0.7" top="0.75" bottom="0.75" header="0.3" footer="0.3"/>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68"/>
  <sheetViews>
    <sheetView zoomScale="70" zoomScaleNormal="70" workbookViewId="0">
      <selection activeCell="B1" sqref="B1"/>
    </sheetView>
  </sheetViews>
  <sheetFormatPr baseColWidth="8" defaultColWidth="11" defaultRowHeight="16"/>
  <cols>
    <col width="29.5" customWidth="1" style="142" min="1" max="1"/>
    <col width="27.33203125" customWidth="1" style="142" min="2" max="2"/>
    <col width="61.33203125" customWidth="1" style="142" min="3" max="3"/>
    <col width="9.5" customWidth="1" style="142" min="4" max="4"/>
    <col width="17.33203125" bestFit="1" customWidth="1" style="142" min="6" max="6"/>
    <col width="15.08203125" customWidth="1" style="142" min="7" max="7"/>
  </cols>
  <sheetData>
    <row r="1" ht="29.5" customHeight="1" s="142">
      <c r="A1" s="30" t="inlineStr">
        <is>
          <t>Vendor</t>
        </is>
      </c>
      <c r="B1" s="31" t="inlineStr">
        <is>
          <t>System Name</t>
        </is>
      </c>
      <c r="C1" s="31" t="inlineStr">
        <is>
          <t>Short Description</t>
        </is>
      </c>
      <c r="D1" s="31" t="inlineStr">
        <is>
          <t>GxP ?</t>
        </is>
      </c>
      <c r="E1" s="31" t="inlineStr">
        <is>
          <t>Saas/On Prem</t>
        </is>
      </c>
      <c r="F1" s="31" t="inlineStr">
        <is>
          <t>Business Department Owner</t>
        </is>
      </c>
      <c r="G1" s="31" t="inlineStr">
        <is>
          <t>ELT</t>
        </is>
      </c>
    </row>
    <row r="2">
      <c r="A2" s="32" t="inlineStr">
        <is>
          <t>?</t>
        </is>
      </c>
      <c r="B2" s="33" t="inlineStr">
        <is>
          <t>Legal Patent/ IPMaster</t>
        </is>
      </c>
      <c r="C2" s="33" t="inlineStr">
        <is>
          <t>Legal Patent/ IPMaster</t>
        </is>
      </c>
      <c r="D2" s="33" t="inlineStr">
        <is>
          <t>No</t>
        </is>
      </c>
      <c r="E2" s="33" t="inlineStr">
        <is>
          <t>SaaS</t>
        </is>
      </c>
      <c r="F2" s="33" t="inlineStr">
        <is>
          <t>Legal</t>
        </is>
      </c>
      <c r="G2" s="33" t="inlineStr">
        <is>
          <t>Lesha Shinn</t>
        </is>
      </c>
    </row>
    <row r="3">
      <c r="A3" s="32" t="inlineStr">
        <is>
          <t>ADP</t>
        </is>
      </c>
      <c r="B3" s="33" t="inlineStr">
        <is>
          <t>ADP</t>
        </is>
      </c>
      <c r="C3" s="33" t="inlineStr">
        <is>
          <t>Payroll system and time tracking - different sites</t>
        </is>
      </c>
      <c r="D3" s="33" t="inlineStr">
        <is>
          <t>No</t>
        </is>
      </c>
      <c r="E3" s="33" t="inlineStr">
        <is>
          <t>SaaS</t>
        </is>
      </c>
      <c r="F3" s="33" t="inlineStr">
        <is>
          <t>HR</t>
        </is>
      </c>
      <c r="G3" s="33" t="inlineStr">
        <is>
          <t>Chantal Veillon</t>
        </is>
      </c>
    </row>
    <row r="4">
      <c r="A4" s="32" t="inlineStr">
        <is>
          <t>AGILENT</t>
        </is>
      </c>
      <c r="B4" s="33" t="inlineStr">
        <is>
          <t>Agilent Resolutions Pro</t>
        </is>
      </c>
      <c r="C4" s="33" t="inlineStr">
        <is>
          <t>R&amp;D application that houses Medical Affair study results without patient or sensitive information.</t>
        </is>
      </c>
      <c r="D4" s="33" t="inlineStr">
        <is>
          <t>No</t>
        </is>
      </c>
      <c r="E4" s="33" t="inlineStr">
        <is>
          <t>SaaS</t>
        </is>
      </c>
      <c r="F4" s="33" t="inlineStr">
        <is>
          <t>Medical Affair</t>
        </is>
      </c>
      <c r="G4" s="33" t="inlineStr">
        <is>
          <t>Robert Davis</t>
        </is>
      </c>
    </row>
    <row r="5">
      <c r="A5" s="34" t="inlineStr">
        <is>
          <t>AGILOFT</t>
        </is>
      </c>
      <c r="B5" s="35" t="inlineStr">
        <is>
          <t>Agiloft</t>
        </is>
      </c>
      <c r="C5" s="35" t="inlineStr">
        <is>
          <t>Contract Management software</t>
        </is>
      </c>
      <c r="D5" s="35" t="inlineStr">
        <is>
          <t>No</t>
        </is>
      </c>
      <c r="E5" s="35" t="inlineStr">
        <is>
          <t>SaaS</t>
        </is>
      </c>
      <c r="F5" s="35" t="inlineStr">
        <is>
          <t>Legal</t>
        </is>
      </c>
      <c r="G5" s="35" t="inlineStr">
        <is>
          <t>Lesha Shinn</t>
        </is>
      </c>
    </row>
    <row r="6">
      <c r="A6" s="34" t="inlineStr">
        <is>
          <t>APPZEN INC</t>
        </is>
      </c>
      <c r="B6" s="35" t="inlineStr">
        <is>
          <t>AppZen</t>
        </is>
      </c>
      <c r="C6" s="35" t="inlineStr">
        <is>
          <t>Provides expense auditing and automated processes software to improve compliance and efficiency in business expenses management.</t>
        </is>
      </c>
      <c r="D6" s="35" t="inlineStr">
        <is>
          <t>No</t>
        </is>
      </c>
      <c r="E6" s="35" t="inlineStr">
        <is>
          <t>SaaS</t>
        </is>
      </c>
      <c r="F6" s="35" t="inlineStr">
        <is>
          <t>Finance</t>
        </is>
      </c>
      <c r="G6" s="35" t="inlineStr">
        <is>
          <t>Lea Knight</t>
        </is>
      </c>
    </row>
    <row r="7">
      <c r="A7" s="34" t="inlineStr">
        <is>
          <t>ATMOSPHERE APPS INC</t>
        </is>
      </c>
      <c r="B7" s="35" t="inlineStr">
        <is>
          <t>Atmosphere</t>
        </is>
      </c>
      <c r="C7" s="35" t="inlineStr">
        <is>
          <t>WebApp and marketing portal design</t>
        </is>
      </c>
      <c r="D7" s="35" t="inlineStr">
        <is>
          <t>No</t>
        </is>
      </c>
      <c r="E7" s="35" t="inlineStr">
        <is>
          <t>SaaS</t>
        </is>
      </c>
      <c r="F7" s="35" t="inlineStr">
        <is>
          <t>Sales Ops</t>
        </is>
      </c>
      <c r="G7" s="35" t="inlineStr">
        <is>
          <t>Robert Davis</t>
        </is>
      </c>
    </row>
    <row r="8">
      <c r="A8" s="34" t="inlineStr">
        <is>
          <t>AUDITBOARD INC</t>
        </is>
      </c>
      <c r="B8" s="35" t="inlineStr">
        <is>
          <t>AudiBoard</t>
        </is>
      </c>
      <c r="C8" s="35" t="inlineStr">
        <is>
          <t>Audit, Compliance &amp; Risk Management software</t>
        </is>
      </c>
      <c r="D8" s="35" t="inlineStr">
        <is>
          <t>No</t>
        </is>
      </c>
      <c r="E8" s="35" t="inlineStr">
        <is>
          <t>SaaS</t>
        </is>
      </c>
      <c r="F8" s="35" t="inlineStr">
        <is>
          <t>Finance</t>
        </is>
      </c>
      <c r="G8" s="35" t="inlineStr">
        <is>
          <t>Lea Knight</t>
        </is>
      </c>
    </row>
    <row r="9">
      <c r="A9" s="34" t="inlineStr">
        <is>
          <t>AXONIFY INC</t>
        </is>
      </c>
      <c r="B9" s="35" t="inlineStr">
        <is>
          <t>Axonify Smart Start</t>
        </is>
      </c>
      <c r="C9" s="35" t="inlineStr">
        <is>
          <t>Training platform</t>
        </is>
      </c>
      <c r="D9" s="35" t="inlineStr">
        <is>
          <t>No</t>
        </is>
      </c>
      <c r="E9" s="35" t="inlineStr">
        <is>
          <t>SaaS</t>
        </is>
      </c>
      <c r="F9" s="35" t="inlineStr">
        <is>
          <t>Sales Ops</t>
        </is>
      </c>
      <c r="G9" s="35" t="inlineStr">
        <is>
          <t>Robert Davis</t>
        </is>
      </c>
    </row>
    <row r="10">
      <c r="A10" s="34" t="inlineStr">
        <is>
          <t>BLACKLINE SYSTEMS INC</t>
        </is>
      </c>
      <c r="B10" s="35" t="inlineStr">
        <is>
          <t>Blackline</t>
        </is>
      </c>
      <c r="C10" s="35" t="inlineStr">
        <is>
          <t>Accounting account reconciliation</t>
        </is>
      </c>
      <c r="D10" s="35" t="inlineStr">
        <is>
          <t>No</t>
        </is>
      </c>
      <c r="E10" s="35" t="inlineStr">
        <is>
          <t>SaaS</t>
        </is>
      </c>
      <c r="F10" s="35" t="inlineStr">
        <is>
          <t>Finance</t>
        </is>
      </c>
      <c r="G10" s="35" t="inlineStr">
        <is>
          <t>Lea Knight</t>
        </is>
      </c>
    </row>
    <row r="11">
      <c r="A11" s="34" t="inlineStr">
        <is>
          <t>BONTERRA TECH LLC</t>
        </is>
      </c>
      <c r="B11" s="35" t="inlineStr">
        <is>
          <t>Cybergrant</t>
        </is>
      </c>
      <c r="C11" s="35" t="inlineStr">
        <is>
          <t>Grants management for Medical Affair</t>
        </is>
      </c>
      <c r="D11" s="35" t="inlineStr">
        <is>
          <t>No</t>
        </is>
      </c>
      <c r="E11" s="35" t="inlineStr">
        <is>
          <t>SaaS</t>
        </is>
      </c>
      <c r="F11" s="35" t="inlineStr">
        <is>
          <t>Medical Affair</t>
        </is>
      </c>
      <c r="G11" s="35" t="inlineStr">
        <is>
          <t>Robert Davis</t>
        </is>
      </c>
    </row>
    <row r="12">
      <c r="A12" s="34" t="inlineStr">
        <is>
          <t>CDW &amp; SHI reseller (AutoCad)</t>
        </is>
      </c>
      <c r="B12" s="35" t="inlineStr">
        <is>
          <t>AutoCad</t>
        </is>
      </c>
      <c r="C12" s="35" t="inlineStr">
        <is>
          <t>Prototype drafting for products. Includes engineering designs and drawings.</t>
        </is>
      </c>
      <c r="D12" s="35" t="inlineStr">
        <is>
          <t>Yes</t>
        </is>
      </c>
      <c r="E12" s="35" t="inlineStr">
        <is>
          <t>Local</t>
        </is>
      </c>
      <c r="F12" s="35" t="inlineStr">
        <is>
          <t>Operations</t>
        </is>
      </c>
      <c r="G12" s="35" t="inlineStr">
        <is>
          <t>Valerie Young</t>
        </is>
      </c>
    </row>
    <row r="13">
      <c r="A13" s="34" t="inlineStr">
        <is>
          <t>CERTARA USA INC</t>
        </is>
      </c>
      <c r="B13" s="35" t="inlineStr">
        <is>
          <t>Certara Analytics</t>
        </is>
      </c>
      <c r="C13" s="35" t="inlineStr">
        <is>
          <t>Solution used for Analytics on Mobile TT App + Portal TT</t>
        </is>
      </c>
      <c r="D13" s="35" t="inlineStr">
        <is>
          <t>No</t>
        </is>
      </c>
      <c r="E13" s="35" t="inlineStr">
        <is>
          <t>SaaS</t>
        </is>
      </c>
      <c r="F13" s="35" t="inlineStr">
        <is>
          <t>Sales Ops</t>
        </is>
      </c>
      <c r="G13" s="35" t="inlineStr">
        <is>
          <t>Robert Davis</t>
        </is>
      </c>
    </row>
    <row r="14">
      <c r="A14" s="34" t="inlineStr">
        <is>
          <t>ClinCapture</t>
        </is>
      </c>
      <c r="B14" s="35" t="inlineStr">
        <is>
          <t>ClinCapture</t>
        </is>
      </c>
      <c r="C14" s="35" t="inlineStr">
        <is>
          <t>Medical Affair solution</t>
        </is>
      </c>
      <c r="D14" s="35" t="inlineStr">
        <is>
          <t>Yes</t>
        </is>
      </c>
      <c r="E14" s="35" t="inlineStr">
        <is>
          <t>SaaS</t>
        </is>
      </c>
      <c r="F14" s="35" t="inlineStr">
        <is>
          <t>Medical Affair</t>
        </is>
      </c>
      <c r="G14" s="35" t="inlineStr">
        <is>
          <t>Robert Davis</t>
        </is>
      </c>
    </row>
    <row r="15">
      <c r="A15" s="34" t="inlineStr">
        <is>
          <t>Concur</t>
        </is>
      </c>
      <c r="B15" s="35" t="inlineStr">
        <is>
          <t>Concur (SAP)</t>
        </is>
      </c>
      <c r="C15" s="35" t="inlineStr">
        <is>
          <t>Travel &amp; Expense</t>
        </is>
      </c>
      <c r="D15" s="35" t="inlineStr">
        <is>
          <t>No</t>
        </is>
      </c>
      <c r="E15" s="35" t="inlineStr">
        <is>
          <t>SaaS</t>
        </is>
      </c>
      <c r="F15" s="35" t="inlineStr">
        <is>
          <t>Finance</t>
        </is>
      </c>
      <c r="G15" s="35" t="inlineStr">
        <is>
          <t>Lea Knight</t>
        </is>
      </c>
    </row>
    <row r="16">
      <c r="A16" s="32" t="inlineStr">
        <is>
          <t>CPA Global</t>
        </is>
      </c>
      <c r="B16" s="33" t="inlineStr">
        <is>
          <t>CPA Global</t>
        </is>
      </c>
      <c r="C16" s="33" t="inlineStr">
        <is>
          <t>Legal intellectual property management hosted by CPA Global</t>
        </is>
      </c>
      <c r="D16" s="33" t="inlineStr">
        <is>
          <t>No</t>
        </is>
      </c>
      <c r="E16" s="33" t="inlineStr">
        <is>
          <t>SaaS</t>
        </is>
      </c>
      <c r="F16" s="33" t="inlineStr">
        <is>
          <t>Legal</t>
        </is>
      </c>
      <c r="G16" s="33" t="inlineStr">
        <is>
          <t>Lesha Shinn</t>
        </is>
      </c>
    </row>
    <row r="17">
      <c r="A17" s="34" t="inlineStr">
        <is>
          <t>CULTURE AMP INC</t>
        </is>
      </c>
      <c r="B17" s="35" t="inlineStr">
        <is>
          <t>Culture Amp</t>
        </is>
      </c>
      <c r="C17" s="35" t="inlineStr">
        <is>
          <t>Culture Amp platform engagement and effectiveness - enterprise Survey platform for our pulse and employee engagement surveys</t>
        </is>
      </c>
      <c r="D17" s="35" t="inlineStr">
        <is>
          <t>No</t>
        </is>
      </c>
      <c r="E17" s="35" t="inlineStr">
        <is>
          <t>SaaS</t>
        </is>
      </c>
      <c r="F17" s="35" t="inlineStr">
        <is>
          <t>HR</t>
        </is>
      </c>
      <c r="G17" s="35" t="inlineStr">
        <is>
          <t>Chantal Veillon</t>
        </is>
      </c>
    </row>
    <row r="18">
      <c r="A18" s="34" t="inlineStr">
        <is>
          <t>CVent</t>
        </is>
      </c>
      <c r="B18" s="35" t="inlineStr">
        <is>
          <t>CVent</t>
        </is>
      </c>
      <c r="C18" s="35" t="inlineStr">
        <is>
          <t>Virtual event management</t>
        </is>
      </c>
      <c r="D18" s="35" t="inlineStr">
        <is>
          <t>No</t>
        </is>
      </c>
      <c r="E18" s="35" t="inlineStr">
        <is>
          <t>SaaS</t>
        </is>
      </c>
      <c r="F18" s="35" t="inlineStr">
        <is>
          <t>Communication</t>
        </is>
      </c>
      <c r="G18" s="35" t="inlineStr">
        <is>
          <t>Chantal Veillon</t>
        </is>
      </c>
    </row>
    <row r="19">
      <c r="A19" s="32" t="inlineStr">
        <is>
          <t>DEFINITIVE HEALTHCARE LLC</t>
        </is>
      </c>
      <c r="B19" s="33" t="inlineStr">
        <is>
          <t>Definitive Healthcare</t>
        </is>
      </c>
      <c r="C19" s="33" t="inlineStr">
        <is>
          <t>Transforms data, analytics and expertise into healthcare commercial intelligence</t>
        </is>
      </c>
      <c r="D19" s="33" t="inlineStr">
        <is>
          <t>No</t>
        </is>
      </c>
      <c r="E19" s="33" t="inlineStr">
        <is>
          <t>SaaS</t>
        </is>
      </c>
      <c r="F19" s="33" t="inlineStr">
        <is>
          <t>Digital Marketing</t>
        </is>
      </c>
      <c r="G19" s="33" t="inlineStr">
        <is>
          <t>Chantal Veillon</t>
        </is>
      </c>
    </row>
    <row r="20">
      <c r="A20" s="34" t="inlineStr">
        <is>
          <t>DILIGENT CORP</t>
        </is>
      </c>
      <c r="B20" s="35" t="inlineStr">
        <is>
          <t>Diligent</t>
        </is>
      </c>
      <c r="C20" s="35" t="inlineStr">
        <is>
          <t>Legal/Compliance Application</t>
        </is>
      </c>
      <c r="D20" s="35" t="inlineStr">
        <is>
          <t>No</t>
        </is>
      </c>
      <c r="E20" s="35" t="inlineStr">
        <is>
          <t>SaaS</t>
        </is>
      </c>
      <c r="F20" s="35" t="inlineStr">
        <is>
          <t>Legal</t>
        </is>
      </c>
      <c r="G20" s="35" t="inlineStr">
        <is>
          <t>Lesha Shinn</t>
        </is>
      </c>
    </row>
    <row r="21">
      <c r="A21" s="45" t="inlineStr">
        <is>
          <t>DOCUSIGN + CDW reseller (DocuSign)</t>
        </is>
      </c>
      <c r="B21" s="46" t="inlineStr">
        <is>
          <t>Docusign</t>
        </is>
      </c>
      <c r="C21" s="46" t="inlineStr">
        <is>
          <t>Provides e-signature technology and digital transaction management services.</t>
        </is>
      </c>
      <c r="D21" s="46" t="inlineStr">
        <is>
          <t>No</t>
        </is>
      </c>
      <c r="E21" s="46" t="inlineStr">
        <is>
          <t>SaaS</t>
        </is>
      </c>
      <c r="F21" s="46" t="inlineStr">
        <is>
          <t>Transversal</t>
        </is>
      </c>
      <c r="G21" s="46" t="inlineStr">
        <is>
          <t>Unknown</t>
        </is>
      </c>
    </row>
    <row r="22">
      <c r="A22" s="32" t="inlineStr">
        <is>
          <t>ETRADE (no specific subscription)</t>
        </is>
      </c>
      <c r="B22" s="33" t="inlineStr">
        <is>
          <t>Equity Edge Online</t>
        </is>
      </c>
      <c r="C22" s="33" t="inlineStr">
        <is>
          <t>HR stock option - Etrade</t>
        </is>
      </c>
      <c r="D22" s="33" t="inlineStr">
        <is>
          <t>No</t>
        </is>
      </c>
      <c r="E22" s="33" t="inlineStr">
        <is>
          <t>SaaS</t>
        </is>
      </c>
      <c r="F22" s="33" t="inlineStr">
        <is>
          <t>HR</t>
        </is>
      </c>
      <c r="G22" s="33" t="inlineStr">
        <is>
          <t>Chantal Veillon</t>
        </is>
      </c>
    </row>
    <row r="23">
      <c r="A23" s="34" t="inlineStr">
        <is>
          <t>FACTSET RESEARCH SYS INC</t>
        </is>
      </c>
      <c r="B23" s="35" t="inlineStr">
        <is>
          <t>Research</t>
        </is>
      </c>
      <c r="C23" s="35" t="inlineStr">
        <is>
          <t>Delivers financial data and analytical software for investment professionals to make informed investment decisions.</t>
        </is>
      </c>
      <c r="D23" s="35" t="inlineStr">
        <is>
          <t>No</t>
        </is>
      </c>
      <c r="E23" s="35" t="inlineStr">
        <is>
          <t>SaaS</t>
        </is>
      </c>
      <c r="F23" s="35" t="inlineStr">
        <is>
          <t>Finance</t>
        </is>
      </c>
      <c r="G23" s="35" t="inlineStr">
        <is>
          <t>Lea Knight</t>
        </is>
      </c>
    </row>
    <row r="24">
      <c r="A24" s="34" t="inlineStr">
        <is>
          <t>FASTPATH SOLUTIONS LLC</t>
        </is>
      </c>
      <c r="B24" s="35" t="inlineStr">
        <is>
          <t>Fastpath</t>
        </is>
      </c>
      <c r="C24" s="35" t="inlineStr">
        <is>
          <t>Governance, Risks, &amp; Controls system used to provide audit trails on modification performed in Oracle and to support Segregation of Duties (SoD) and sensitive access monitoring</t>
        </is>
      </c>
      <c r="D24" s="35" t="inlineStr">
        <is>
          <t>No</t>
        </is>
      </c>
      <c r="E24" s="35" t="inlineStr">
        <is>
          <t>SaaS</t>
        </is>
      </c>
      <c r="F24" s="35" t="inlineStr">
        <is>
          <t>Finance</t>
        </is>
      </c>
      <c r="G24" s="35" t="inlineStr">
        <is>
          <t>Lea Knight</t>
        </is>
      </c>
    </row>
    <row r="25">
      <c r="A25" s="34" t="inlineStr">
        <is>
          <t>FIVE9 INC</t>
        </is>
      </c>
      <c r="B25" s="35" t="inlineStr">
        <is>
          <t>Five9</t>
        </is>
      </c>
      <c r="C25" s="35" t="inlineStr">
        <is>
          <t>Call Center solution for Customer Service</t>
        </is>
      </c>
      <c r="D25" s="35" t="inlineStr">
        <is>
          <t>No</t>
        </is>
      </c>
      <c r="E25" s="35" t="inlineStr">
        <is>
          <t>SaaS</t>
        </is>
      </c>
      <c r="F25" s="35" t="inlineStr">
        <is>
          <t>Customer Service</t>
        </is>
      </c>
      <c r="G25" s="35" t="inlineStr">
        <is>
          <t>Lea Knight</t>
        </is>
      </c>
    </row>
    <row r="26">
      <c r="A26" s="34" t="inlineStr">
        <is>
          <t>FOXPLAN SAS</t>
        </is>
      </c>
      <c r="B26" s="35" t="inlineStr">
        <is>
          <t>FoxPlan</t>
        </is>
      </c>
      <c r="C26" s="35" t="inlineStr">
        <is>
          <t>Project Management software (used by Le Locle)</t>
        </is>
      </c>
      <c r="D26" s="35" t="inlineStr">
        <is>
          <t>No</t>
        </is>
      </c>
      <c r="E26" s="35" t="inlineStr">
        <is>
          <t>SaaS</t>
        </is>
      </c>
      <c r="F26" s="35" t="inlineStr">
        <is>
          <t>Operations</t>
        </is>
      </c>
      <c r="G26" s="35" t="inlineStr">
        <is>
          <t>Valerie Young</t>
        </is>
      </c>
    </row>
    <row r="27">
      <c r="A27" s="34" t="inlineStr">
        <is>
          <t>Genpact system (no specific subscription)</t>
        </is>
      </c>
      <c r="B27" s="35" t="inlineStr">
        <is>
          <t>Esker</t>
        </is>
      </c>
      <c r="C27" s="35" t="inlineStr">
        <is>
          <t>Customer Order integration</t>
        </is>
      </c>
      <c r="D27" s="35" t="inlineStr">
        <is>
          <t>No</t>
        </is>
      </c>
      <c r="E27" s="35" t="inlineStr">
        <is>
          <t>SaaS</t>
        </is>
      </c>
      <c r="F27" s="35" t="inlineStr">
        <is>
          <t>Customer Service</t>
        </is>
      </c>
      <c r="G27" s="35" t="inlineStr">
        <is>
          <t>Lea Knight</t>
        </is>
      </c>
    </row>
    <row r="28">
      <c r="A28" s="34" t="inlineStr">
        <is>
          <t>Genpact system (no specific subscription)</t>
        </is>
      </c>
      <c r="B28" s="35" t="inlineStr">
        <is>
          <t>HighRadius</t>
        </is>
      </c>
      <c r="C28" s="35" t="inlineStr">
        <is>
          <t>Credit and cash collection</t>
        </is>
      </c>
      <c r="D28" s="35" t="inlineStr">
        <is>
          <t>No</t>
        </is>
      </c>
      <c r="E28" s="35" t="inlineStr">
        <is>
          <t>SaaS</t>
        </is>
      </c>
      <c r="F28" s="35" t="inlineStr">
        <is>
          <t>Customer Service</t>
        </is>
      </c>
      <c r="G28" s="35" t="inlineStr">
        <is>
          <t>Lea Knight</t>
        </is>
      </c>
    </row>
    <row r="29">
      <c r="A29" s="34" t="inlineStr">
        <is>
          <t>GENSIGHT GROUP, THE</t>
        </is>
      </c>
      <c r="B29" s="35" t="inlineStr">
        <is>
          <t>GenSight</t>
        </is>
      </c>
      <c r="C29" s="35" t="inlineStr">
        <is>
          <t>Project Management software (use for R&amp;D Portfolio Management and Project / Time Tracking + Resource Management for Clinical Operations)</t>
        </is>
      </c>
      <c r="D29" s="35" t="inlineStr">
        <is>
          <t>No</t>
        </is>
      </c>
      <c r="E29" s="35" t="inlineStr">
        <is>
          <t>SaaS</t>
        </is>
      </c>
      <c r="F29" s="35" t="inlineStr">
        <is>
          <t>Transversal</t>
        </is>
      </c>
      <c r="G29" s="35" t="inlineStr">
        <is>
          <t>Robert Davis/Mike McBreen</t>
        </is>
      </c>
    </row>
    <row r="30">
      <c r="A30" s="34" t="inlineStr">
        <is>
          <t>GHX GLOBAL HEALTHCARE EXCHANGE</t>
        </is>
      </c>
      <c r="B30" s="36" t="inlineStr">
        <is>
          <t>GHX</t>
        </is>
      </c>
      <c r="C30" s="36" t="inlineStr">
        <is>
          <t>EDI solution for customer orders &amp; e-Invoice</t>
        </is>
      </c>
      <c r="D30" s="36" t="inlineStr">
        <is>
          <t>No</t>
        </is>
      </c>
      <c r="E30" s="36" t="inlineStr">
        <is>
          <t>SaaS</t>
        </is>
      </c>
      <c r="F30" s="36" t="inlineStr">
        <is>
          <t>Customer Service</t>
        </is>
      </c>
      <c r="G30" s="35" t="inlineStr">
        <is>
          <t>Lea Knight</t>
        </is>
      </c>
    </row>
    <row r="31">
      <c r="A31" s="34" t="inlineStr">
        <is>
          <t>HAWK RIDGE SYSTEMS LLC</t>
        </is>
      </c>
      <c r="B31" s="35" t="inlineStr">
        <is>
          <t>SolidWorks</t>
        </is>
      </c>
      <c r="C31" s="35" t="inlineStr">
        <is>
          <t>Computer-Aided Design (CAD) system for product designs and drawings</t>
        </is>
      </c>
      <c r="D31" s="35" t="inlineStr">
        <is>
          <t>No</t>
        </is>
      </c>
      <c r="E31" s="35" t="inlineStr">
        <is>
          <t>Local</t>
        </is>
      </c>
      <c r="F31" s="35" t="inlineStr">
        <is>
          <t>Operations</t>
        </is>
      </c>
      <c r="G31" s="35" t="inlineStr">
        <is>
          <t>Valerie Young</t>
        </is>
      </c>
    </row>
    <row r="32">
      <c r="A32" s="34" t="inlineStr">
        <is>
          <t>HUBSPOT</t>
        </is>
      </c>
      <c r="B32" s="35" t="inlineStr">
        <is>
          <t>HubSpot</t>
        </is>
      </c>
      <c r="C32" s="35" t="inlineStr">
        <is>
          <t>Marketing email campaigns</t>
        </is>
      </c>
      <c r="D32" s="35" t="inlineStr">
        <is>
          <t>No</t>
        </is>
      </c>
      <c r="E32" s="35" t="inlineStr">
        <is>
          <t>SaaS</t>
        </is>
      </c>
      <c r="F32" s="35" t="inlineStr">
        <is>
          <t>Communication</t>
        </is>
      </c>
      <c r="G32" s="35" t="inlineStr">
        <is>
          <t>Chantal Veillon</t>
        </is>
      </c>
    </row>
    <row r="33">
      <c r="A33" s="34" t="inlineStr">
        <is>
          <t>ICIMS INC</t>
        </is>
      </c>
      <c r="B33" s="35" t="inlineStr">
        <is>
          <t>iCIMS</t>
        </is>
      </c>
      <c r="C33" s="35" t="inlineStr">
        <is>
          <t>Recruiting software platform</t>
        </is>
      </c>
      <c r="D33" s="35" t="inlineStr">
        <is>
          <t>No</t>
        </is>
      </c>
      <c r="E33" s="35" t="inlineStr">
        <is>
          <t>SaaS</t>
        </is>
      </c>
      <c r="F33" s="35" t="inlineStr">
        <is>
          <t>HR</t>
        </is>
      </c>
      <c r="G33" s="35" t="inlineStr">
        <is>
          <t>Chantal Veillon</t>
        </is>
      </c>
    </row>
    <row r="34">
      <c r="A34" s="32" t="inlineStr">
        <is>
          <t>ICOACH</t>
        </is>
      </c>
      <c r="B34" s="33" t="inlineStr">
        <is>
          <t>iCoach</t>
        </is>
      </c>
      <c r="C34" s="33" t="inlineStr">
        <is>
          <t>iCoach is a field sales coaching and development system and app</t>
        </is>
      </c>
      <c r="D34" s="33" t="inlineStr">
        <is>
          <t>No</t>
        </is>
      </c>
      <c r="E34" s="33" t="inlineStr">
        <is>
          <t>SaaS</t>
        </is>
      </c>
      <c r="F34" s="33" t="inlineStr">
        <is>
          <t>Sales Ops</t>
        </is>
      </c>
      <c r="G34" s="33" t="inlineStr">
        <is>
          <t>Robert Davis/Mike McBreen</t>
        </is>
      </c>
    </row>
    <row r="35">
      <c r="A35" s="34" t="inlineStr">
        <is>
          <t>IMS TECHNOLOGY SERVICES INC</t>
        </is>
      </c>
      <c r="B35" s="35" t="inlineStr">
        <is>
          <t>Creative</t>
        </is>
      </c>
      <c r="C35" s="35" t="inlineStr">
        <is>
          <t>Content, updating, new design templates, and digital signage playlists</t>
        </is>
      </c>
      <c r="D35" s="35" t="inlineStr">
        <is>
          <t>No</t>
        </is>
      </c>
      <c r="E35" s="35" t="inlineStr">
        <is>
          <t>Local</t>
        </is>
      </c>
      <c r="F35" s="35" t="inlineStr">
        <is>
          <t>Operations</t>
        </is>
      </c>
      <c r="G35" s="35" t="inlineStr">
        <is>
          <t>Valerie Young</t>
        </is>
      </c>
    </row>
    <row r="36">
      <c r="A36" s="34" t="inlineStr">
        <is>
          <t>IQVIA INC</t>
        </is>
      </c>
      <c r="B36" s="35" t="inlineStr">
        <is>
          <t>GRANT PLAN</t>
        </is>
      </c>
      <c r="C36" s="35" t="inlineStr">
        <is>
          <t>Health information technologies and clinical research solutions</t>
        </is>
      </c>
      <c r="D36" s="35" t="inlineStr">
        <is>
          <t>Yes</t>
        </is>
      </c>
      <c r="E36" s="35" t="inlineStr">
        <is>
          <t>SaaS</t>
        </is>
      </c>
      <c r="F36" s="35" t="inlineStr">
        <is>
          <t>Medical Affair</t>
        </is>
      </c>
      <c r="G36" s="35" t="inlineStr">
        <is>
          <t>Robert Davis</t>
        </is>
      </c>
    </row>
    <row r="37">
      <c r="A37" s="34" t="inlineStr">
        <is>
          <t>JUSTRANSFORM DOT COM LLC</t>
        </is>
      </c>
      <c r="B37" s="35" t="inlineStr">
        <is>
          <t>Trading Partner Platform</t>
        </is>
      </c>
      <c r="C37" s="35" t="inlineStr">
        <is>
          <t>Trading Partner platform integrated with GTM/OTM</t>
        </is>
      </c>
      <c r="D37" s="35" t="inlineStr">
        <is>
          <t>No</t>
        </is>
      </c>
      <c r="E37" s="35" t="inlineStr">
        <is>
          <t>SaaS</t>
        </is>
      </c>
      <c r="F37" s="35" t="inlineStr">
        <is>
          <t>Logistic/Supply Chain</t>
        </is>
      </c>
      <c r="G37" s="35" t="inlineStr">
        <is>
          <t>Valerie Young</t>
        </is>
      </c>
    </row>
    <row r="38">
      <c r="A38" s="34" t="inlineStr">
        <is>
          <t>KALLIK LTD</t>
        </is>
      </c>
      <c r="B38" s="35" t="inlineStr">
        <is>
          <t xml:space="preserve">Kallik </t>
        </is>
      </c>
      <c r="C38" s="35" t="inlineStr">
        <is>
          <t>Label design software</t>
        </is>
      </c>
      <c r="D38" s="35" t="inlineStr">
        <is>
          <t>Yes</t>
        </is>
      </c>
      <c r="E38" s="35" t="inlineStr">
        <is>
          <t>SaaS</t>
        </is>
      </c>
      <c r="F38" s="35" t="inlineStr">
        <is>
          <t>Regulatory</t>
        </is>
      </c>
      <c r="G38" s="35" t="inlineStr">
        <is>
          <t>Jessica Smith</t>
        </is>
      </c>
    </row>
    <row r="39">
      <c r="A39" s="34" t="inlineStr">
        <is>
          <t>LRN, THE LEGAL KNOWLEDGE COMPANY</t>
        </is>
      </c>
      <c r="B39" s="35" t="inlineStr">
        <is>
          <t>LRN</t>
        </is>
      </c>
      <c r="C39" s="35" t="inlineStr">
        <is>
          <t>Training content</t>
        </is>
      </c>
      <c r="D39" s="35" t="inlineStr">
        <is>
          <t>No</t>
        </is>
      </c>
      <c r="E39" s="35" t="inlineStr">
        <is>
          <t>SaaS</t>
        </is>
      </c>
      <c r="F39" s="35" t="inlineStr">
        <is>
          <t>Compliance</t>
        </is>
      </c>
      <c r="G39" s="35" t="inlineStr">
        <is>
          <t>Lesha Shinn</t>
        </is>
      </c>
    </row>
    <row r="40">
      <c r="A40" s="34" t="inlineStr">
        <is>
          <t>MASTERCONTROL</t>
        </is>
      </c>
      <c r="B40" s="35" t="inlineStr">
        <is>
          <t>Master Control</t>
        </is>
      </c>
      <c r="C40" s="35" t="inlineStr">
        <is>
          <t>Automate and manage all critical compliance, product design and quality event documents from every point along the product lifecycle. Solution used by Columbia site</t>
        </is>
      </c>
      <c r="D40" s="35" t="inlineStr">
        <is>
          <t>Yes</t>
        </is>
      </c>
      <c r="E40" s="35" t="inlineStr">
        <is>
          <t>SaaS</t>
        </is>
      </c>
      <c r="F40" s="35" t="inlineStr">
        <is>
          <t>Quality</t>
        </is>
      </c>
      <c r="G40" s="35" t="inlineStr">
        <is>
          <t>Linnette Torres</t>
        </is>
      </c>
    </row>
    <row r="41">
      <c r="A41" s="34" t="inlineStr">
        <is>
          <t>MINITAB + CDW Reseller</t>
        </is>
      </c>
      <c r="B41" s="35" t="inlineStr">
        <is>
          <t>MiniTab</t>
        </is>
      </c>
      <c r="C41" s="35" t="inlineStr">
        <is>
          <t>Quality Data statistic tool</t>
        </is>
      </c>
      <c r="D41" s="35" t="inlineStr">
        <is>
          <t>Yes</t>
        </is>
      </c>
      <c r="E41" s="35" t="inlineStr">
        <is>
          <t>SaaS</t>
        </is>
      </c>
      <c r="F41" s="35" t="inlineStr">
        <is>
          <t>Quality</t>
        </is>
      </c>
      <c r="G41" s="35" t="inlineStr">
        <is>
          <t>Linnette Torres</t>
        </is>
      </c>
    </row>
    <row r="42">
      <c r="A42" s="34" t="inlineStr">
        <is>
          <t>MOVEMEDICAL</t>
        </is>
      </c>
      <c r="B42" s="35" t="inlineStr">
        <is>
          <t>Move Medical</t>
        </is>
      </c>
      <c r="C42" s="35" t="inlineStr">
        <is>
          <t>TT Consignment</t>
        </is>
      </c>
      <c r="D42" s="35" t="inlineStr">
        <is>
          <t>No</t>
        </is>
      </c>
      <c r="E42" s="35" t="inlineStr">
        <is>
          <t>SaaS</t>
        </is>
      </c>
      <c r="F42" s="35" t="inlineStr">
        <is>
          <t>Sales Ops</t>
        </is>
      </c>
      <c r="G42" s="35" t="inlineStr">
        <is>
          <t>Robert Davis</t>
        </is>
      </c>
    </row>
    <row r="43">
      <c r="A43" s="34" t="inlineStr">
        <is>
          <t>NAVEX GLOBAL INC</t>
        </is>
      </c>
      <c r="B43" s="35" t="inlineStr">
        <is>
          <t>Ethics Point</t>
        </is>
      </c>
      <c r="C43" s="35" t="inlineStr">
        <is>
          <t>Legal Application</t>
        </is>
      </c>
      <c r="D43" s="35" t="inlineStr">
        <is>
          <t>No</t>
        </is>
      </c>
      <c r="E43" s="35" t="inlineStr">
        <is>
          <t>SaaS</t>
        </is>
      </c>
      <c r="F43" s="35" t="inlineStr">
        <is>
          <t>Compliance</t>
        </is>
      </c>
      <c r="G43" s="35" t="inlineStr">
        <is>
          <t>Lesha Shinn</t>
        </is>
      </c>
    </row>
    <row r="44">
      <c r="A44" s="34" t="inlineStr">
        <is>
          <t>NYQUISTAI</t>
        </is>
      </c>
      <c r="B44" s="35" t="inlineStr">
        <is>
          <t>Nyquist</t>
        </is>
      </c>
      <c r="C44" s="35" t="inlineStr">
        <is>
          <t>Medical Device Data Module</t>
        </is>
      </c>
      <c r="D44" s="35" t="inlineStr">
        <is>
          <t>No</t>
        </is>
      </c>
      <c r="E44" s="35" t="inlineStr">
        <is>
          <t>SaaS</t>
        </is>
      </c>
      <c r="F44" s="35" t="inlineStr">
        <is>
          <t>Regulatory</t>
        </is>
      </c>
      <c r="G44" s="35" t="inlineStr">
        <is>
          <t>Jessica Smith</t>
        </is>
      </c>
    </row>
    <row r="45">
      <c r="A45" s="34" t="inlineStr">
        <is>
          <t>OBERON TECHNOLOGIES INC</t>
        </is>
      </c>
      <c r="B45" s="35" t="inlineStr">
        <is>
          <t>eIFU Titania</t>
        </is>
      </c>
      <c r="C45" s="35" t="inlineStr">
        <is>
          <t>eIFU Titania Platform</t>
        </is>
      </c>
      <c r="D45" s="35" t="inlineStr">
        <is>
          <t>No</t>
        </is>
      </c>
      <c r="E45" s="35" t="inlineStr">
        <is>
          <t>SaaS</t>
        </is>
      </c>
      <c r="F45" s="35" t="inlineStr">
        <is>
          <t>Digital Marketing</t>
        </is>
      </c>
      <c r="G45" s="35" t="inlineStr">
        <is>
          <t>Chantal Veillon</t>
        </is>
      </c>
    </row>
    <row r="46">
      <c r="A46" s="34" t="inlineStr">
        <is>
          <t>ONESTREAM SOFTWARE LLC</t>
        </is>
      </c>
      <c r="B46" s="35" t="inlineStr">
        <is>
          <t>OneStream</t>
        </is>
      </c>
      <c r="C46" s="35" t="inlineStr">
        <is>
          <t>Consolidation &amp; budgeting solution</t>
        </is>
      </c>
      <c r="D46" s="35" t="inlineStr">
        <is>
          <t>No</t>
        </is>
      </c>
      <c r="E46" s="35" t="inlineStr">
        <is>
          <t>SaaS</t>
        </is>
      </c>
      <c r="F46" s="35" t="inlineStr">
        <is>
          <t>Finance</t>
        </is>
      </c>
      <c r="G46" s="35" t="inlineStr">
        <is>
          <t>Lea Knight</t>
        </is>
      </c>
    </row>
    <row r="47" ht="29.5" customHeight="1" s="142">
      <c r="A47" s="34" t="inlineStr">
        <is>
          <t>Oracle</t>
        </is>
      </c>
      <c r="B47" s="36" t="inlineStr">
        <is>
          <t>Oracle GTM/OTM</t>
        </is>
      </c>
      <c r="C47" s="36" t="inlineStr">
        <is>
          <t>Oracle SaaS solution for Global Trade Management (GTM) &amp; Transportation Management (OTM)</t>
        </is>
      </c>
      <c r="D47" s="36" t="inlineStr">
        <is>
          <t>Yes</t>
        </is>
      </c>
      <c r="E47" s="36" t="inlineStr">
        <is>
          <t>SaaS</t>
        </is>
      </c>
      <c r="F47" s="36" t="inlineStr">
        <is>
          <t>Logistic/Supply Chain</t>
        </is>
      </c>
      <c r="G47" s="35" t="inlineStr">
        <is>
          <t>Valerie Young</t>
        </is>
      </c>
    </row>
    <row r="48">
      <c r="A48" s="34" t="inlineStr">
        <is>
          <t>PORZIO LIFE SCIENCES LLC</t>
        </is>
      </c>
      <c r="B48" s="35" t="inlineStr">
        <is>
          <t>Porzio - GST</t>
        </is>
      </c>
      <c r="C48" s="35" t="inlineStr">
        <is>
          <t xml:space="preserve">Compliance application for Global Spend Transparency </t>
        </is>
      </c>
      <c r="D48" s="35" t="inlineStr">
        <is>
          <t>No</t>
        </is>
      </c>
      <c r="E48" s="35" t="inlineStr">
        <is>
          <t>SaaS</t>
        </is>
      </c>
      <c r="F48" s="35" t="inlineStr">
        <is>
          <t>Compliance</t>
        </is>
      </c>
      <c r="G48" s="35" t="inlineStr">
        <is>
          <t>Lesha Shinn</t>
        </is>
      </c>
    </row>
    <row r="49">
      <c r="A49" s="34" t="inlineStr">
        <is>
          <t>PORZIO LIFE SCIENCES LLC</t>
        </is>
      </c>
      <c r="B49" s="35" t="inlineStr">
        <is>
          <t>Porzio - TPE</t>
        </is>
      </c>
      <c r="C49" s="35" t="inlineStr">
        <is>
          <t>Compliance application for Third Party HCPs engagement</t>
        </is>
      </c>
      <c r="D49" s="35" t="inlineStr">
        <is>
          <t>No</t>
        </is>
      </c>
      <c r="E49" s="35" t="inlineStr">
        <is>
          <t>SaaS</t>
        </is>
      </c>
      <c r="F49" s="35" t="inlineStr">
        <is>
          <t>Compliance</t>
        </is>
      </c>
      <c r="G49" s="35" t="inlineStr">
        <is>
          <t>Lesha Shinn</t>
        </is>
      </c>
    </row>
    <row r="50">
      <c r="A50" s="32" t="inlineStr">
        <is>
          <t>ROI LLC</t>
        </is>
      </c>
      <c r="B50" s="33" t="inlineStr">
        <is>
          <t>ROI</t>
        </is>
      </c>
      <c r="C50" s="33" t="inlineStr">
        <is>
          <t>Regulatory Application</t>
        </is>
      </c>
      <c r="D50" s="33" t="inlineStr">
        <is>
          <t>No</t>
        </is>
      </c>
      <c r="E50" s="33" t="inlineStr">
        <is>
          <t>On Prem</t>
        </is>
      </c>
      <c r="F50" s="33" t="inlineStr">
        <is>
          <t>Regulatory</t>
        </is>
      </c>
      <c r="G50" s="33" t="inlineStr">
        <is>
          <t>Jessica Smith</t>
        </is>
      </c>
    </row>
    <row r="51">
      <c r="A51" s="34" t="inlineStr">
        <is>
          <t>SAP AMERICA INC</t>
        </is>
      </c>
      <c r="B51" s="35" t="inlineStr">
        <is>
          <t>SAP FieldGlass</t>
        </is>
      </c>
      <c r="C51" s="35" t="inlineStr">
        <is>
          <t>Procurement solution in use with GuidantGlobal to onboard temp resources and soon to manage SOW request</t>
        </is>
      </c>
      <c r="D51" s="35" t="inlineStr">
        <is>
          <t>No</t>
        </is>
      </c>
      <c r="E51" s="35" t="inlineStr">
        <is>
          <t>SaaS</t>
        </is>
      </c>
      <c r="F51" s="35" t="inlineStr">
        <is>
          <t>Procurement</t>
        </is>
      </c>
      <c r="G51" s="35" t="inlineStr">
        <is>
          <t>Valerie Young</t>
        </is>
      </c>
    </row>
    <row r="52">
      <c r="A52" s="34" t="inlineStr">
        <is>
          <t>SAS INSTITUTE INC</t>
        </is>
      </c>
      <c r="B52" s="35" t="inlineStr">
        <is>
          <t>SAS</t>
        </is>
      </c>
      <c r="C52" s="35" t="inlineStr">
        <is>
          <t>Statistical Analysis Software (SAS) licensing fee</t>
        </is>
      </c>
      <c r="D52" s="35" t="inlineStr">
        <is>
          <t>No</t>
        </is>
      </c>
      <c r="E52" s="35" t="inlineStr">
        <is>
          <t>SaaS</t>
        </is>
      </c>
      <c r="F52" s="35" t="inlineStr">
        <is>
          <t>Medical Affair</t>
        </is>
      </c>
      <c r="G52" s="35" t="inlineStr">
        <is>
          <t>Robert Davis</t>
        </is>
      </c>
    </row>
    <row r="53">
      <c r="A53" s="34" t="inlineStr">
        <is>
          <t>SMARTSHEET INC</t>
        </is>
      </c>
      <c r="B53" s="35" t="inlineStr">
        <is>
          <t>Smartsheet</t>
        </is>
      </c>
      <c r="C53" s="35" t="inlineStr">
        <is>
          <t>Project Management software (use by Boston Quality &amp; CSS Product Development)</t>
        </is>
      </c>
      <c r="D53" s="35" t="inlineStr">
        <is>
          <t>No</t>
        </is>
      </c>
      <c r="E53" s="35" t="inlineStr">
        <is>
          <t>SaaS</t>
        </is>
      </c>
      <c r="F53" s="35" t="inlineStr">
        <is>
          <t>Quality</t>
        </is>
      </c>
      <c r="G53" s="35" t="inlineStr">
        <is>
          <t>Linnette Torres</t>
        </is>
      </c>
    </row>
    <row r="54">
      <c r="A54" s="34" t="inlineStr">
        <is>
          <t>SPHERA SOLUTIONS</t>
        </is>
      </c>
      <c r="B54" s="35" t="inlineStr">
        <is>
          <t>Sphera</t>
        </is>
      </c>
      <c r="C54" s="35" t="inlineStr">
        <is>
          <t>Sustainability &amp; Safety Management Solutions</t>
        </is>
      </c>
      <c r="D54" s="35" t="inlineStr">
        <is>
          <t>No</t>
        </is>
      </c>
      <c r="E54" s="35" t="inlineStr">
        <is>
          <t>SaaS</t>
        </is>
      </c>
      <c r="F54" s="35" t="inlineStr">
        <is>
          <t>Legal</t>
        </is>
      </c>
      <c r="G54" s="35" t="inlineStr">
        <is>
          <t>Lesha Shinn</t>
        </is>
      </c>
    </row>
    <row r="55">
      <c r="A55" s="34" t="inlineStr">
        <is>
          <t>SYNDIO SOLUTIONS INC</t>
        </is>
      </c>
      <c r="B55" s="35" t="inlineStr">
        <is>
          <t>PayEQ</t>
        </is>
      </c>
      <c r="C55" s="35" t="inlineStr">
        <is>
          <t>Equity software</t>
        </is>
      </c>
      <c r="D55" s="35" t="inlineStr">
        <is>
          <t>No</t>
        </is>
      </c>
      <c r="E55" s="35" t="inlineStr">
        <is>
          <t>SaaS</t>
        </is>
      </c>
      <c r="F55" s="35" t="inlineStr">
        <is>
          <t>HR</t>
        </is>
      </c>
      <c r="G55" s="35" t="inlineStr">
        <is>
          <t>Chantal Veillon</t>
        </is>
      </c>
    </row>
    <row r="56">
      <c r="A56" s="32" t="inlineStr">
        <is>
          <t>THOMSON REUTERS (TAX AND ACCOUNTING) INC</t>
        </is>
      </c>
      <c r="B56" s="33" t="inlineStr">
        <is>
          <t>OneSource</t>
        </is>
      </c>
      <c r="C56" s="33" t="inlineStr">
        <is>
          <t>Transfer price solution</t>
        </is>
      </c>
      <c r="D56" s="33" t="inlineStr">
        <is>
          <t>No</t>
        </is>
      </c>
      <c r="E56" s="33" t="inlineStr">
        <is>
          <t>SaaS</t>
        </is>
      </c>
      <c r="F56" s="33" t="inlineStr">
        <is>
          <t>Finance</t>
        </is>
      </c>
      <c r="G56" s="33" t="inlineStr">
        <is>
          <t>Lea Knight</t>
        </is>
      </c>
    </row>
    <row r="57">
      <c r="A57" s="34" t="inlineStr">
        <is>
          <t>THOMSON REUTERS (TAX AND ACCOUNTING) INC</t>
        </is>
      </c>
      <c r="B57" s="35" t="inlineStr">
        <is>
          <t>OneSource/Sabrix</t>
        </is>
      </c>
      <c r="C57" s="35" t="inlineStr">
        <is>
          <t>Tax system integrated with Oracle</t>
        </is>
      </c>
      <c r="D57" s="35" t="inlineStr">
        <is>
          <t>No</t>
        </is>
      </c>
      <c r="E57" s="35" t="inlineStr">
        <is>
          <t>SaaS</t>
        </is>
      </c>
      <c r="F57" s="35" t="inlineStr">
        <is>
          <t>Finance/Tax</t>
        </is>
      </c>
      <c r="G57" s="35" t="inlineStr">
        <is>
          <t>Lea Knight</t>
        </is>
      </c>
    </row>
    <row r="58">
      <c r="A58" s="34" t="inlineStr">
        <is>
          <t>TIKAMOBILE INC</t>
        </is>
      </c>
      <c r="B58" s="35" t="inlineStr">
        <is>
          <t>Tika Mobile</t>
        </is>
      </c>
      <c r="C58" s="35" t="inlineStr">
        <is>
          <t>Medical Affair solution to track activities with TT KOL</t>
        </is>
      </c>
      <c r="D58" s="35" t="inlineStr">
        <is>
          <t>No</t>
        </is>
      </c>
      <c r="E58" s="35" t="inlineStr">
        <is>
          <t>SaaS</t>
        </is>
      </c>
      <c r="F58" s="35" t="inlineStr">
        <is>
          <t>Medical Affair</t>
        </is>
      </c>
      <c r="G58" s="35" t="inlineStr">
        <is>
          <t>Robert Davis</t>
        </is>
      </c>
    </row>
    <row r="59">
      <c r="A59" s="34" t="inlineStr">
        <is>
          <t>UDEMY INC</t>
        </is>
      </c>
      <c r="B59" s="35" t="inlineStr">
        <is>
          <t>Udemy</t>
        </is>
      </c>
      <c r="C59" s="35" t="inlineStr">
        <is>
          <t>Learning Management System</t>
        </is>
      </c>
      <c r="D59" s="35" t="inlineStr">
        <is>
          <t>No</t>
        </is>
      </c>
      <c r="E59" s="35" t="inlineStr">
        <is>
          <t>SaaS</t>
        </is>
      </c>
      <c r="F59" s="35" t="inlineStr">
        <is>
          <t>HR</t>
        </is>
      </c>
      <c r="G59" s="35" t="inlineStr">
        <is>
          <t>Chantal Veillon</t>
        </is>
      </c>
    </row>
    <row r="60">
      <c r="A60" s="34" t="inlineStr">
        <is>
          <t>VEEVA SYSTEMS INC</t>
        </is>
      </c>
      <c r="B60" s="35" t="inlineStr">
        <is>
          <t>Veeva  Sparks &amp; Payment</t>
        </is>
      </c>
      <c r="C60" s="35" t="inlineStr">
        <is>
          <t>Veeva Vault’s Payments allows  efficient management, tracking and reporting of financial data intergrated with CTMS and  CDMS through Veeva Spark Connector for upcoming studies.</t>
        </is>
      </c>
      <c r="D60" s="35" t="inlineStr">
        <is>
          <t>Yes</t>
        </is>
      </c>
      <c r="E60" s="35" t="inlineStr">
        <is>
          <t>SaaS</t>
        </is>
      </c>
      <c r="F60" s="35" t="inlineStr">
        <is>
          <t>Medical Affair</t>
        </is>
      </c>
      <c r="G60" s="35" t="inlineStr">
        <is>
          <t>Robert Davis</t>
        </is>
      </c>
    </row>
    <row r="61">
      <c r="A61" s="34" t="inlineStr">
        <is>
          <t>VEEVA SYSTEMS INC</t>
        </is>
      </c>
      <c r="B61" s="35" t="inlineStr">
        <is>
          <t>Veeva CDMS</t>
        </is>
      </c>
      <c r="C61" s="35" t="inlineStr">
        <is>
          <t>Veeva Vault Clinical Data Management System (CDMS)​ : Study Database Design and Data Collection​, Monitoring-Related Source Data Verification (SDV) / Review​, Study Data Management / Data Cleaning / Query Resolution​, Serious Adverse Event (SAE) / Device Deficiency Collection and Notification​</t>
        </is>
      </c>
      <c r="D61" s="35" t="inlineStr">
        <is>
          <t>Yes</t>
        </is>
      </c>
      <c r="E61" s="35" t="inlineStr">
        <is>
          <t>SaaS</t>
        </is>
      </c>
      <c r="F61" s="35" t="inlineStr">
        <is>
          <t>Medical Affair</t>
        </is>
      </c>
      <c r="G61" s="35" t="inlineStr">
        <is>
          <t>Robert Davis</t>
        </is>
      </c>
    </row>
    <row r="62" ht="73" customHeight="1" s="142">
      <c r="A62" s="34" t="inlineStr">
        <is>
          <t>VEEVA SYSTEMS INC</t>
        </is>
      </c>
      <c r="B62" s="35" t="inlineStr">
        <is>
          <t>Veeva CTMS</t>
        </is>
      </c>
      <c r="C62" s="36" t="inlineStr">
        <is>
          <t>Veeva Vault Clinical Trial Management System (CTMS)​ :
Hosting of each unique Clinical Study’s electronic Trial Master File (eTMF) and each Clinical Study Site’s Investigator Site File (ISF)​, Study Milestone management​ and Execution-related reporting​, Monitoring Visit scheduling, management, and Trip Report and related documentation authoring​</t>
        </is>
      </c>
      <c r="D62" s="35" t="inlineStr">
        <is>
          <t>Yes</t>
        </is>
      </c>
      <c r="E62" s="35" t="inlineStr">
        <is>
          <t>SaaS</t>
        </is>
      </c>
      <c r="F62" s="35" t="inlineStr">
        <is>
          <t>Medical Affair</t>
        </is>
      </c>
      <c r="G62" s="35" t="inlineStr">
        <is>
          <t>Robert Davis</t>
        </is>
      </c>
    </row>
    <row r="63">
      <c r="A63" s="34" t="inlineStr">
        <is>
          <t>VEEVA SYSTEMS INC</t>
        </is>
      </c>
      <c r="B63" s="35" t="inlineStr">
        <is>
          <t>Veeva RTMS</t>
        </is>
      </c>
      <c r="C63" s="35" t="inlineStr">
        <is>
          <t>Veeva Vault’s RTSM module allows to set up randomization and to randomize the subject properly for Clinical Trials</t>
        </is>
      </c>
      <c r="D63" s="35" t="inlineStr">
        <is>
          <t>Yes</t>
        </is>
      </c>
      <c r="E63" s="35" t="inlineStr">
        <is>
          <t>SaaS</t>
        </is>
      </c>
      <c r="F63" s="35" t="inlineStr">
        <is>
          <t>Medical Affair</t>
        </is>
      </c>
      <c r="G63" s="35" t="inlineStr">
        <is>
          <t>Robert Davis</t>
        </is>
      </c>
    </row>
    <row r="64">
      <c r="A64" s="34" t="inlineStr">
        <is>
          <t>WORKDAY INC</t>
        </is>
      </c>
      <c r="B64" s="35" t="inlineStr">
        <is>
          <t>Workday</t>
        </is>
      </c>
      <c r="C64" s="35" t="inlineStr">
        <is>
          <t>HRIS system</t>
        </is>
      </c>
      <c r="D64" s="35" t="inlineStr">
        <is>
          <t>No</t>
        </is>
      </c>
      <c r="E64" s="35" t="inlineStr">
        <is>
          <t>SaaS</t>
        </is>
      </c>
      <c r="F64" s="35" t="inlineStr">
        <is>
          <t>HR</t>
        </is>
      </c>
      <c r="G64" s="35" t="inlineStr">
        <is>
          <t>Chantal Veillon</t>
        </is>
      </c>
    </row>
    <row r="65">
      <c r="A65" s="32" t="inlineStr">
        <is>
          <t>WORKFRONT INC (ADOBE)</t>
        </is>
      </c>
      <c r="B65" s="33" t="inlineStr">
        <is>
          <t>Workfront</t>
        </is>
      </c>
      <c r="C65" s="33" t="inlineStr">
        <is>
          <t>Work management and project software</t>
        </is>
      </c>
      <c r="D65" s="33" t="inlineStr">
        <is>
          <t>No</t>
        </is>
      </c>
      <c r="E65" s="33" t="inlineStr">
        <is>
          <t>SaaS</t>
        </is>
      </c>
      <c r="F65" s="33" t="inlineStr">
        <is>
          <t>Digital Marketing</t>
        </is>
      </c>
      <c r="G65" s="33" t="inlineStr">
        <is>
          <t>Chantal Veillon</t>
        </is>
      </c>
    </row>
    <row r="66">
      <c r="A66" s="34" t="inlineStr">
        <is>
          <t>WORKIVA INC</t>
        </is>
      </c>
      <c r="B66" s="35" t="inlineStr">
        <is>
          <t>Workiva</t>
        </is>
      </c>
      <c r="C66" s="35" t="inlineStr">
        <is>
          <t>ESG platform</t>
        </is>
      </c>
      <c r="D66" s="35" t="inlineStr">
        <is>
          <t>No</t>
        </is>
      </c>
      <c r="E66" s="35" t="inlineStr">
        <is>
          <t>SaaS</t>
        </is>
      </c>
      <c r="F66" s="35" t="inlineStr">
        <is>
          <t>Finance</t>
        </is>
      </c>
      <c r="G66" s="35" t="inlineStr">
        <is>
          <t>Lea Knight</t>
        </is>
      </c>
    </row>
    <row r="67">
      <c r="A67" s="34" t="inlineStr">
        <is>
          <t>WORKZONE LLC</t>
        </is>
      </c>
      <c r="B67" s="35" t="inlineStr">
        <is>
          <t>Workzone</t>
        </is>
      </c>
      <c r="C67" s="35" t="inlineStr">
        <is>
          <t>Project Management Software (used by Acell, Boston and with the TT PMO)</t>
        </is>
      </c>
      <c r="D67" s="35" t="inlineStr">
        <is>
          <t>No</t>
        </is>
      </c>
      <c r="E67" s="35" t="inlineStr">
        <is>
          <t>SaaS</t>
        </is>
      </c>
      <c r="F67" s="35" t="inlineStr">
        <is>
          <t>Transversal</t>
        </is>
      </c>
      <c r="G67" s="35" t="inlineStr">
        <is>
          <t>Robert Davis</t>
        </is>
      </c>
    </row>
    <row r="68">
      <c r="A68" s="50" t="inlineStr">
        <is>
          <t>COMPASS</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69"/>
  <sheetViews>
    <sheetView zoomScale="70" zoomScaleNormal="70" workbookViewId="0">
      <selection activeCell="I7" sqref="I7"/>
    </sheetView>
  </sheetViews>
  <sheetFormatPr baseColWidth="8" defaultColWidth="11" defaultRowHeight="16"/>
  <cols>
    <col width="34.58203125" bestFit="1" customWidth="1" style="142" min="1" max="1"/>
    <col width="19.5" bestFit="1" customWidth="1" style="142" min="2" max="2"/>
    <col width="38.58203125" customWidth="1" style="142" min="3" max="3"/>
    <col width="5.33203125" bestFit="1" customWidth="1" style="142" min="4" max="4"/>
    <col width="10.08203125" bestFit="1" customWidth="1" style="142" min="5" max="5"/>
    <col width="17" bestFit="1" customWidth="1" style="142" min="6" max="6"/>
    <col width="23.58203125" bestFit="1" customWidth="1" style="142" min="7" max="7"/>
    <col width="11.83203125" bestFit="1" customWidth="1" style="142" min="8" max="8"/>
  </cols>
  <sheetData>
    <row r="1" ht="29.5" customHeight="1" s="142">
      <c r="A1" s="37" t="inlineStr">
        <is>
          <t>Vendor</t>
        </is>
      </c>
      <c r="B1" s="38" t="inlineStr">
        <is>
          <t>System Name</t>
        </is>
      </c>
      <c r="C1" s="39" t="inlineStr">
        <is>
          <t>Short Description</t>
        </is>
      </c>
      <c r="D1" s="39" t="inlineStr">
        <is>
          <t>GxP ?</t>
        </is>
      </c>
      <c r="E1" s="39" t="inlineStr">
        <is>
          <t>Saas/On Prem</t>
        </is>
      </c>
      <c r="F1" s="38" t="inlineStr">
        <is>
          <t>ISLT for the Solution</t>
        </is>
      </c>
      <c r="G1" s="38" t="inlineStr">
        <is>
          <t>Business Department Owner</t>
        </is>
      </c>
      <c r="H1" s="38" t="inlineStr">
        <is>
          <t>ELT</t>
        </is>
      </c>
    </row>
    <row r="2">
      <c r="A2" s="34" t="inlineStr">
        <is>
          <t>AIRSLATE INC</t>
        </is>
      </c>
      <c r="B2" s="36" t="inlineStr">
        <is>
          <t>SignNow</t>
        </is>
      </c>
      <c r="C2" s="36" t="inlineStr">
        <is>
          <t>Electronic signature</t>
        </is>
      </c>
      <c r="D2" s="36" t="inlineStr">
        <is>
          <t>Yes</t>
        </is>
      </c>
      <c r="E2" s="36" t="inlineStr">
        <is>
          <t>SaaS</t>
        </is>
      </c>
      <c r="F2" s="35" t="inlineStr">
        <is>
          <t>Laetitia Delolme</t>
        </is>
      </c>
      <c r="G2" s="36" t="inlineStr">
        <is>
          <t>Quality</t>
        </is>
      </c>
      <c r="H2" s="35" t="inlineStr">
        <is>
          <t>Linnette Torres</t>
        </is>
      </c>
    </row>
    <row r="3">
      <c r="A3" s="34" t="inlineStr">
        <is>
          <t>ALERTMEDIA</t>
        </is>
      </c>
      <c r="B3" s="36" t="inlineStr">
        <is>
          <t>AlertMedia</t>
        </is>
      </c>
      <c r="C3" s="36" t="inlineStr">
        <is>
          <t>Emergency communication system</t>
        </is>
      </c>
      <c r="D3" s="36" t="inlineStr">
        <is>
          <t>No</t>
        </is>
      </c>
      <c r="E3" s="36" t="inlineStr">
        <is>
          <t>SaaS</t>
        </is>
      </c>
      <c r="F3" s="36" t="inlineStr">
        <is>
          <t>Matt Cerny</t>
        </is>
      </c>
      <c r="G3" s="36" t="inlineStr">
        <is>
          <t>Information System</t>
        </is>
      </c>
      <c r="H3" s="36" t="inlineStr">
        <is>
          <t>Dimitri Kvares</t>
        </is>
      </c>
    </row>
    <row r="4">
      <c r="A4" s="34" t="inlineStr">
        <is>
          <t>ASPOSE PTY LTD</t>
        </is>
      </c>
      <c r="B4" s="36" t="inlineStr">
        <is>
          <t>ASPOSE</t>
        </is>
      </c>
      <c r="C4" s="36" t="inlineStr">
        <is>
          <t>API Agile PLM</t>
        </is>
      </c>
      <c r="D4" s="36" t="inlineStr">
        <is>
          <t>No</t>
        </is>
      </c>
      <c r="E4" s="36" t="inlineStr">
        <is>
          <t>On Prem</t>
        </is>
      </c>
      <c r="F4" s="36" t="inlineStr">
        <is>
          <t>Tushar Choksi</t>
        </is>
      </c>
      <c r="G4" s="36" t="inlineStr">
        <is>
          <t>Information System</t>
        </is>
      </c>
      <c r="H4" s="36" t="inlineStr">
        <is>
          <t>Dimitri Kvares</t>
        </is>
      </c>
    </row>
    <row r="5" ht="29.5" customHeight="1" s="142">
      <c r="A5" s="34" t="inlineStr">
        <is>
          <t>Auraplayer</t>
        </is>
      </c>
      <c r="B5" s="35" t="inlineStr">
        <is>
          <t>Auraplayer</t>
        </is>
      </c>
      <c r="C5" s="35" t="inlineStr">
        <is>
          <t>Offers robotic process automation (RPA) software to automate repetitive business processes.</t>
        </is>
      </c>
      <c r="D5" s="40" t="inlineStr">
        <is>
          <t>No</t>
        </is>
      </c>
      <c r="E5" s="40" t="inlineStr">
        <is>
          <t>SaaS</t>
        </is>
      </c>
      <c r="F5" s="40" t="inlineStr">
        <is>
          <t>Amit Singhal</t>
        </is>
      </c>
      <c r="G5" s="40" t="inlineStr">
        <is>
          <t>Transversal</t>
        </is>
      </c>
      <c r="H5" s="40" t="inlineStr">
        <is>
          <t>Transversal use</t>
        </is>
      </c>
    </row>
    <row r="6" ht="29.5" customHeight="1" s="142">
      <c r="A6" s="34" t="inlineStr">
        <is>
          <t>AUTOMATION ANYWHERE INC</t>
        </is>
      </c>
      <c r="B6" s="35" t="inlineStr">
        <is>
          <t>Automation Anywhere</t>
        </is>
      </c>
      <c r="C6" s="35" t="inlineStr">
        <is>
          <t>Offers robotic process automation (RPA) software to automate repetitive business processes.</t>
        </is>
      </c>
      <c r="D6" s="40" t="inlineStr">
        <is>
          <t>No</t>
        </is>
      </c>
      <c r="E6" s="40" t="inlineStr">
        <is>
          <t>SaaS</t>
        </is>
      </c>
      <c r="F6" s="40" t="inlineStr">
        <is>
          <t>Amit Singhal</t>
        </is>
      </c>
      <c r="G6" s="40" t="inlineStr">
        <is>
          <t>Transversal</t>
        </is>
      </c>
      <c r="H6" s="40" t="inlineStr">
        <is>
          <t>Transversal use</t>
        </is>
      </c>
      <c r="I6" s="63" t="inlineStr">
        <is>
          <t>Shut Down</t>
        </is>
      </c>
    </row>
    <row r="7" ht="44.15" customHeight="1" s="142">
      <c r="A7" s="34" t="inlineStr">
        <is>
          <t>Avaya</t>
        </is>
      </c>
      <c r="B7" s="36" t="inlineStr">
        <is>
          <t>Avaya</t>
        </is>
      </c>
      <c r="C7" s="36" t="inlineStr">
        <is>
          <t>Provides business communication solutions, including unified communications, contact centers, and cloud services.</t>
        </is>
      </c>
      <c r="D7" s="36" t="inlineStr">
        <is>
          <t>No</t>
        </is>
      </c>
      <c r="E7" s="36" t="inlineStr">
        <is>
          <t>On Prem</t>
        </is>
      </c>
      <c r="F7" s="36" t="inlineStr">
        <is>
          <t>Steve Swierczek</t>
        </is>
      </c>
      <c r="G7" s="36" t="inlineStr">
        <is>
          <t>Information System</t>
        </is>
      </c>
      <c r="H7" s="36" t="inlineStr">
        <is>
          <t>Dimitri Kvares</t>
        </is>
      </c>
    </row>
    <row r="8">
      <c r="A8" s="41" t="inlineStr">
        <is>
          <t>BLUE MONTAIN</t>
        </is>
      </c>
      <c r="B8" s="36" t="inlineStr">
        <is>
          <t>BlueMontain CMMS</t>
        </is>
      </c>
      <c r="C8" s="36" t="inlineStr">
        <is>
          <t>Computerized maintenance management system</t>
        </is>
      </c>
      <c r="D8" s="36" t="inlineStr">
        <is>
          <t>Yes</t>
        </is>
      </c>
      <c r="E8" s="36" t="inlineStr">
        <is>
          <t>SaaS</t>
        </is>
      </c>
      <c r="F8" s="36" t="inlineStr">
        <is>
          <t>Tushar Choksi</t>
        </is>
      </c>
      <c r="G8" s="36" t="inlineStr">
        <is>
          <t>Operations</t>
        </is>
      </c>
      <c r="H8" s="36" t="inlineStr">
        <is>
          <t>Valerie Young</t>
        </is>
      </c>
    </row>
    <row r="9" ht="29.5" customHeight="1" s="142">
      <c r="A9" s="41" t="inlineStr">
        <is>
          <t>BMI SYSTEM / UBAQ</t>
        </is>
      </c>
      <c r="B9" s="36" t="inlineStr">
        <is>
          <t>NAYACT</t>
        </is>
      </c>
      <c r="C9" s="36" t="inlineStr">
        <is>
          <t>French Sunshine Act - Engagement with Third Parties HCPs</t>
        </is>
      </c>
      <c r="D9" s="36" t="inlineStr">
        <is>
          <t>No</t>
        </is>
      </c>
      <c r="E9" s="36" t="inlineStr">
        <is>
          <t>SaaS</t>
        </is>
      </c>
      <c r="F9" s="36" t="inlineStr">
        <is>
          <t>Laetitia Delolme</t>
        </is>
      </c>
      <c r="G9" s="36" t="inlineStr">
        <is>
          <t>Legal</t>
        </is>
      </c>
      <c r="H9" s="40" t="inlineStr">
        <is>
          <t>Lesha Shinn</t>
        </is>
      </c>
    </row>
    <row r="10" ht="58.5" customHeight="1" s="142">
      <c r="A10" s="41" t="inlineStr">
        <is>
          <t>CALLTOWER INC</t>
        </is>
      </c>
      <c r="B10" s="36" t="inlineStr">
        <is>
          <t>CallTower</t>
        </is>
      </c>
      <c r="C10" s="36" t="inlineStr">
        <is>
          <t>Software solution for managing Unified Communications, integrating voice, video, messaging, and collaboration tools into a single platform.</t>
        </is>
      </c>
      <c r="D10" s="36" t="inlineStr">
        <is>
          <t>Yes</t>
        </is>
      </c>
      <c r="E10" s="36" t="inlineStr">
        <is>
          <t>SaaS</t>
        </is>
      </c>
      <c r="F10" s="36" t="inlineStr">
        <is>
          <t>Steve Swierczek</t>
        </is>
      </c>
      <c r="G10" s="36" t="inlineStr">
        <is>
          <t>Information System</t>
        </is>
      </c>
      <c r="H10" s="36" t="inlineStr">
        <is>
          <t>Dimitri Kvares</t>
        </is>
      </c>
    </row>
    <row r="11">
      <c r="A11" s="41" t="inlineStr">
        <is>
          <t>CANON</t>
        </is>
      </c>
      <c r="B11" s="36" t="inlineStr">
        <is>
          <t>UniFlow</t>
        </is>
      </c>
      <c r="C11" s="36" t="inlineStr">
        <is>
          <t>Advanced scanning solution included with printers</t>
        </is>
      </c>
      <c r="D11" s="36" t="inlineStr">
        <is>
          <t>No</t>
        </is>
      </c>
      <c r="E11" s="36" t="inlineStr">
        <is>
          <t>Local</t>
        </is>
      </c>
      <c r="F11" s="35" t="inlineStr">
        <is>
          <t>Dave Croson</t>
        </is>
      </c>
      <c r="G11" s="36" t="inlineStr">
        <is>
          <t>Information System</t>
        </is>
      </c>
      <c r="H11" s="35" t="inlineStr">
        <is>
          <t>Dimitri Kvares</t>
        </is>
      </c>
    </row>
    <row r="12" ht="29.5" customHeight="1" s="142">
      <c r="A12" s="42" t="inlineStr">
        <is>
          <t>CDW reseller (Adobe Group)</t>
        </is>
      </c>
      <c r="B12" s="36" t="inlineStr">
        <is>
          <t>Adobe solution</t>
        </is>
      </c>
      <c r="C12" s="36" t="inlineStr">
        <is>
          <t>Various applications from Adobe Suite : Adobe Acrobat, Adobe Creative Cloud, Adobe InDesign…</t>
        </is>
      </c>
      <c r="D12" s="36" t="inlineStr">
        <is>
          <t>No</t>
        </is>
      </c>
      <c r="E12" s="36" t="inlineStr">
        <is>
          <t>Local</t>
        </is>
      </c>
      <c r="F12" s="36" t="inlineStr">
        <is>
          <t>Dave Croson</t>
        </is>
      </c>
      <c r="G12" s="36" t="inlineStr">
        <is>
          <t>Transversal</t>
        </is>
      </c>
      <c r="H12" s="36" t="inlineStr">
        <is>
          <t>Transversal use</t>
        </is>
      </c>
    </row>
    <row r="13" ht="29.5" customHeight="1" s="142">
      <c r="A13" s="42" t="inlineStr">
        <is>
          <t>CDW reseller (Alteryx)</t>
        </is>
      </c>
      <c r="B13" s="36" t="inlineStr">
        <is>
          <t>Alteryx</t>
        </is>
      </c>
      <c r="C13" s="36" t="inlineStr">
        <is>
          <t>Alteryx Designer Subscription (Data Analytics)</t>
        </is>
      </c>
      <c r="D13" s="36" t="inlineStr">
        <is>
          <t>No</t>
        </is>
      </c>
      <c r="E13" s="36" t="inlineStr">
        <is>
          <t>SaaS</t>
        </is>
      </c>
      <c r="F13" s="36" t="inlineStr">
        <is>
          <t>Dave Croson</t>
        </is>
      </c>
      <c r="G13" s="36" t="inlineStr">
        <is>
          <t>Transversal</t>
        </is>
      </c>
      <c r="H13" s="36" t="inlineStr">
        <is>
          <t>Transversal use</t>
        </is>
      </c>
    </row>
    <row r="14">
      <c r="A14" s="42" t="inlineStr">
        <is>
          <t>CDW reseller (Cisco licences)</t>
        </is>
      </c>
      <c r="B14" s="43" t="inlineStr">
        <is>
          <t>Cisco</t>
        </is>
      </c>
      <c r="C14" s="40" t="inlineStr">
        <is>
          <t>Cisco Digital Network Architecture licenses</t>
        </is>
      </c>
      <c r="D14" s="40" t="inlineStr">
        <is>
          <t>No</t>
        </is>
      </c>
      <c r="E14" s="40" t="inlineStr">
        <is>
          <t>On Prem</t>
        </is>
      </c>
      <c r="F14" s="40" t="inlineStr">
        <is>
          <t>Steve Swierczek</t>
        </is>
      </c>
      <c r="G14" s="40" t="inlineStr">
        <is>
          <t>Information System</t>
        </is>
      </c>
      <c r="H14" s="40" t="inlineStr">
        <is>
          <t>Dimitri Kvares</t>
        </is>
      </c>
    </row>
    <row r="15">
      <c r="A15" s="41" t="inlineStr">
        <is>
          <t>CDW reseller (Citrix)</t>
        </is>
      </c>
      <c r="B15" s="36" t="inlineStr">
        <is>
          <t>Citrix</t>
        </is>
      </c>
      <c r="C15" s="36" t="inlineStr">
        <is>
          <t>Virtual desktop</t>
        </is>
      </c>
      <c r="D15" s="36" t="inlineStr">
        <is>
          <t>No</t>
        </is>
      </c>
      <c r="E15" s="36" t="inlineStr">
        <is>
          <t>On Prem</t>
        </is>
      </c>
      <c r="F15" s="36" t="inlineStr">
        <is>
          <t>Steve Swierczek</t>
        </is>
      </c>
      <c r="G15" s="36" t="inlineStr">
        <is>
          <t>Information System</t>
        </is>
      </c>
      <c r="H15" s="36" t="inlineStr">
        <is>
          <t>Dimitri Kvares</t>
        </is>
      </c>
    </row>
    <row r="16" ht="29.5" customHeight="1" s="142">
      <c r="A16" s="41" t="inlineStr">
        <is>
          <t>CDW reseller (CommVault)</t>
        </is>
      </c>
      <c r="B16" s="36" t="inlineStr">
        <is>
          <t>CommVault</t>
        </is>
      </c>
      <c r="C16" s="36" t="inlineStr">
        <is>
          <t xml:space="preserve"> Backup &amp; Recovery for Mail and Cloud Applications</t>
        </is>
      </c>
      <c r="D16" s="36" t="inlineStr">
        <is>
          <t>No</t>
        </is>
      </c>
      <c r="E16" s="36" t="inlineStr">
        <is>
          <t>On Prem</t>
        </is>
      </c>
      <c r="F16" s="36" t="inlineStr">
        <is>
          <t>Steve Swierczek</t>
        </is>
      </c>
      <c r="G16" s="36" t="inlineStr">
        <is>
          <t>Information System</t>
        </is>
      </c>
      <c r="H16" s="36" t="inlineStr">
        <is>
          <t>Dimitri Kvares</t>
        </is>
      </c>
    </row>
    <row r="17">
      <c r="A17" s="47" t="inlineStr">
        <is>
          <t>CDW reseller (IBM)</t>
        </is>
      </c>
      <c r="B17" s="48" t="inlineStr">
        <is>
          <t>Cognos</t>
        </is>
      </c>
      <c r="C17" s="48" t="inlineStr">
        <is>
          <t>EDW / Revenue Reporting</t>
        </is>
      </c>
      <c r="D17" s="48" t="inlineStr">
        <is>
          <t>No</t>
        </is>
      </c>
      <c r="E17" s="48" t="inlineStr">
        <is>
          <t>Azure Cloud</t>
        </is>
      </c>
      <c r="F17" s="48" t="inlineStr">
        <is>
          <t>Amit Singhal</t>
        </is>
      </c>
      <c r="G17" s="48" t="inlineStr">
        <is>
          <t>Finance</t>
        </is>
      </c>
      <c r="H17" s="48" t="inlineStr">
        <is>
          <t>Lea Knight</t>
        </is>
      </c>
    </row>
    <row r="18">
      <c r="A18" s="34" t="inlineStr">
        <is>
          <t>CDW Reseller (Palo Alto Networks Corporate)</t>
        </is>
      </c>
      <c r="B18" s="36" t="inlineStr">
        <is>
          <t>Palo Alto</t>
        </is>
      </c>
      <c r="C18" s="40" t="inlineStr">
        <is>
          <t>Firewall VPN solution (GlobalProtect)</t>
        </is>
      </c>
      <c r="D18" s="40" t="inlineStr">
        <is>
          <t>No</t>
        </is>
      </c>
      <c r="E18" s="40" t="inlineStr">
        <is>
          <t>On Prem</t>
        </is>
      </c>
      <c r="F18" s="40" t="inlineStr">
        <is>
          <t>Steve Swierczek</t>
        </is>
      </c>
      <c r="G18" s="40" t="inlineStr">
        <is>
          <t>Information System</t>
        </is>
      </c>
      <c r="H18" s="40" t="inlineStr">
        <is>
          <t>Dimitri Kvares</t>
        </is>
      </c>
    </row>
    <row r="19">
      <c r="A19" s="42" t="inlineStr">
        <is>
          <t>CDW reseller (Solarwinds)</t>
        </is>
      </c>
      <c r="B19" s="36" t="inlineStr">
        <is>
          <t>Solarwinds</t>
        </is>
      </c>
      <c r="C19" s="36" t="inlineStr">
        <is>
          <t>Network monitoring</t>
        </is>
      </c>
      <c r="D19" s="36" t="inlineStr">
        <is>
          <t>No</t>
        </is>
      </c>
      <c r="E19" s="36" t="inlineStr">
        <is>
          <t>On Prem</t>
        </is>
      </c>
      <c r="F19" s="35" t="inlineStr">
        <is>
          <t>Steve Swierczek</t>
        </is>
      </c>
      <c r="G19" s="36" t="inlineStr">
        <is>
          <t>Information System</t>
        </is>
      </c>
      <c r="H19" s="35" t="inlineStr">
        <is>
          <t>Dimitri Kvares</t>
        </is>
      </c>
    </row>
    <row r="20" ht="29.5" customHeight="1" s="142">
      <c r="A20" s="34" t="inlineStr">
        <is>
          <t>CDW Reseller (Thycotic)</t>
        </is>
      </c>
      <c r="B20" s="43" t="inlineStr">
        <is>
          <t>Thycotic</t>
        </is>
      </c>
      <c r="C20" s="40" t="inlineStr">
        <is>
          <t>Secret Server, Privilege Manager, Password Reset Server, and Thycotic Agents</t>
        </is>
      </c>
      <c r="D20" s="40" t="inlineStr">
        <is>
          <t>No</t>
        </is>
      </c>
      <c r="E20" s="40" t="inlineStr">
        <is>
          <t>SaaS</t>
        </is>
      </c>
      <c r="F20" s="40" t="inlineStr">
        <is>
          <t>Matt Cerny</t>
        </is>
      </c>
      <c r="G20" s="40" t="inlineStr">
        <is>
          <t>Information System</t>
        </is>
      </c>
      <c r="H20" s="40" t="inlineStr">
        <is>
          <t>Dimitri Kvares</t>
        </is>
      </c>
    </row>
    <row r="21" ht="29.5" customHeight="1" s="142">
      <c r="A21" s="42" t="inlineStr">
        <is>
          <t>CDW reseller (Varonis)</t>
        </is>
      </c>
      <c r="B21" s="43" t="inlineStr">
        <is>
          <t>Varonis</t>
        </is>
      </c>
      <c r="C21" s="40" t="inlineStr">
        <is>
          <t>Automated Data Security - Used for data governance on managed file servers</t>
        </is>
      </c>
      <c r="D21" s="40" t="inlineStr">
        <is>
          <t>No</t>
        </is>
      </c>
      <c r="E21" s="40" t="inlineStr">
        <is>
          <t>SaaS</t>
        </is>
      </c>
      <c r="F21" s="40" t="inlineStr">
        <is>
          <t>Matt Cerny</t>
        </is>
      </c>
      <c r="G21" s="36" t="inlineStr">
        <is>
          <t>Information System</t>
        </is>
      </c>
      <c r="H21" s="40" t="inlineStr">
        <is>
          <t>Dimitri Kvares</t>
        </is>
      </c>
    </row>
    <row r="22" ht="29.5" customHeight="1" s="142">
      <c r="A22" s="34" t="inlineStr">
        <is>
          <t>CDW reseller (VMware Corporation)</t>
        </is>
      </c>
      <c r="B22" s="36" t="inlineStr">
        <is>
          <t xml:space="preserve">Carbon Black </t>
        </is>
      </c>
      <c r="C22" s="36" t="inlineStr">
        <is>
          <t>Advanced threat hunting and incident response solution</t>
        </is>
      </c>
      <c r="D22" s="36" t="inlineStr">
        <is>
          <t>No</t>
        </is>
      </c>
      <c r="E22" s="36" t="inlineStr">
        <is>
          <t>SaaS</t>
        </is>
      </c>
      <c r="F22" s="36" t="inlineStr">
        <is>
          <t>Matt Cerny</t>
        </is>
      </c>
      <c r="G22" s="36" t="inlineStr">
        <is>
          <t>Information System</t>
        </is>
      </c>
      <c r="H22" s="36" t="inlineStr">
        <is>
          <t>Dimitri Kvares</t>
        </is>
      </c>
    </row>
    <row r="23" ht="29.5" customHeight="1" s="142">
      <c r="A23" s="42" t="inlineStr">
        <is>
          <t>CDW Reseller (Zoom)</t>
        </is>
      </c>
      <c r="B23" s="43" t="inlineStr">
        <is>
          <t>Zoom</t>
        </is>
      </c>
      <c r="C23" s="40" t="inlineStr">
        <is>
          <t>Back-up for webinar (Microsoft Teams is the primary solution)</t>
        </is>
      </c>
      <c r="D23" s="40" t="inlineStr">
        <is>
          <t>No</t>
        </is>
      </c>
      <c r="E23" s="40" t="inlineStr">
        <is>
          <t>SaaS</t>
        </is>
      </c>
      <c r="F23" s="40" t="inlineStr">
        <is>
          <t>Dave Croson</t>
        </is>
      </c>
      <c r="G23" s="40" t="inlineStr">
        <is>
          <t>Transversal</t>
        </is>
      </c>
      <c r="H23" s="40" t="inlineStr">
        <is>
          <t>Dimitri Kvares</t>
        </is>
      </c>
    </row>
    <row r="24">
      <c r="A24" s="42" t="inlineStr">
        <is>
          <t>CLEVERBRIDGE</t>
        </is>
      </c>
      <c r="B24" s="43" t="inlineStr">
        <is>
          <t>Lansweeper</t>
        </is>
      </c>
      <c r="C24" s="36" t="inlineStr">
        <is>
          <t>Asset Management</t>
        </is>
      </c>
      <c r="D24" s="40" t="inlineStr">
        <is>
          <t>No</t>
        </is>
      </c>
      <c r="E24" s="40" t="inlineStr">
        <is>
          <t>On Prem</t>
        </is>
      </c>
      <c r="F24" s="40" t="inlineStr">
        <is>
          <t>Steve Swierczek</t>
        </is>
      </c>
      <c r="G24" s="40" t="inlineStr">
        <is>
          <t>Information System</t>
        </is>
      </c>
      <c r="H24" s="40" t="inlineStr">
        <is>
          <t>Dimitri Kvares</t>
        </is>
      </c>
    </row>
    <row r="25" ht="44.15" customHeight="1" s="142">
      <c r="A25" s="34" t="inlineStr">
        <is>
          <t>COPADO INC</t>
        </is>
      </c>
      <c r="B25" s="36" t="inlineStr">
        <is>
          <t>Copado</t>
        </is>
      </c>
      <c r="C25" s="36" t="inlineStr">
        <is>
          <t>Provides a DevOps platform for Salesforce to help businesses accelerate releases and improve release quality.</t>
        </is>
      </c>
      <c r="D25" s="36" t="inlineStr">
        <is>
          <t>No</t>
        </is>
      </c>
      <c r="E25" s="36" t="inlineStr">
        <is>
          <t>SaaS</t>
        </is>
      </c>
      <c r="F25" s="40" t="inlineStr">
        <is>
          <t>Mary Salama</t>
        </is>
      </c>
      <c r="G25" s="36" t="inlineStr">
        <is>
          <t>Information System</t>
        </is>
      </c>
      <c r="H25" s="40" t="inlineStr">
        <is>
          <t>Dimitri Kvares</t>
        </is>
      </c>
    </row>
    <row r="26" ht="29.5" customHeight="1" s="142">
      <c r="A26" s="41" t="inlineStr">
        <is>
          <t>ETQ</t>
        </is>
      </c>
      <c r="B26" s="36" t="inlineStr">
        <is>
          <t>EtQ</t>
        </is>
      </c>
      <c r="C26" s="36" t="inlineStr">
        <is>
          <t>Quality system - Le Locle &amp; Mainsfield</t>
        </is>
      </c>
      <c r="D26" s="36" t="inlineStr">
        <is>
          <t>Yes</t>
        </is>
      </c>
      <c r="E26" s="36" t="inlineStr">
        <is>
          <t>SaaS</t>
        </is>
      </c>
      <c r="F26" s="36" t="inlineStr">
        <is>
          <t>Laetitia Delolme</t>
        </is>
      </c>
      <c r="G26" s="36" t="inlineStr">
        <is>
          <t>Quality</t>
        </is>
      </c>
      <c r="H26" s="36" t="inlineStr">
        <is>
          <t>Linnette Torres</t>
        </is>
      </c>
    </row>
    <row r="27" ht="29.5" customHeight="1" s="142">
      <c r="A27" s="41" t="inlineStr">
        <is>
          <t>FLYCAST PARTNERS INC</t>
        </is>
      </c>
      <c r="B27" s="36" t="inlineStr">
        <is>
          <t>Cherwell Asset Management (CAM)</t>
        </is>
      </c>
      <c r="C27" s="36" t="inlineStr">
        <is>
          <t>Software asset management tool</t>
        </is>
      </c>
      <c r="D27" s="36" t="inlineStr">
        <is>
          <t>No</t>
        </is>
      </c>
      <c r="E27" s="36" t="inlineStr">
        <is>
          <t>SaaS</t>
        </is>
      </c>
      <c r="F27" s="36" t="inlineStr">
        <is>
          <t>Steve Swierczek</t>
        </is>
      </c>
      <c r="G27" s="36" t="inlineStr">
        <is>
          <t>Information System</t>
        </is>
      </c>
      <c r="H27" s="36" t="inlineStr">
        <is>
          <t>Dimitri Kvares</t>
        </is>
      </c>
    </row>
    <row r="28" ht="58.5" customHeight="1" s="142">
      <c r="A28" s="34" t="inlineStr">
        <is>
          <t>JITTERBIT INC</t>
        </is>
      </c>
      <c r="B28" s="36" t="inlineStr">
        <is>
          <t>Jitterbit</t>
        </is>
      </c>
      <c r="C28" s="36" t="inlineStr">
        <is>
          <t>Delivers integration platform as a service (iPaaS) solutions to connect systems and applications within an organization. Use for Salesforce integration</t>
        </is>
      </c>
      <c r="D28" s="36" t="inlineStr">
        <is>
          <t>No</t>
        </is>
      </c>
      <c r="E28" s="36" t="inlineStr">
        <is>
          <t>SaaS</t>
        </is>
      </c>
      <c r="F28" s="36" t="inlineStr">
        <is>
          <t>Mary Salama</t>
        </is>
      </c>
      <c r="G28" s="36" t="inlineStr">
        <is>
          <t>Information System</t>
        </is>
      </c>
      <c r="H28" s="36" t="inlineStr">
        <is>
          <t>Dimitri Kvares</t>
        </is>
      </c>
    </row>
    <row r="29">
      <c r="A29" s="34" t="inlineStr">
        <is>
          <t>LOFTWARE INC</t>
        </is>
      </c>
      <c r="B29" s="36" t="inlineStr">
        <is>
          <t>Loftware</t>
        </is>
      </c>
      <c r="C29" s="36" t="inlineStr">
        <is>
          <t>Labelling</t>
        </is>
      </c>
      <c r="D29" s="36" t="inlineStr">
        <is>
          <t>Yes</t>
        </is>
      </c>
      <c r="E29" s="36" t="inlineStr">
        <is>
          <t>On Prem</t>
        </is>
      </c>
      <c r="F29" s="36" t="inlineStr">
        <is>
          <t>Tushar Choksi</t>
        </is>
      </c>
      <c r="G29" s="40" t="inlineStr">
        <is>
          <t>Regulatory</t>
        </is>
      </c>
      <c r="H29" s="36" t="inlineStr">
        <is>
          <t>Jessica Smith</t>
        </is>
      </c>
    </row>
    <row r="30">
      <c r="A30" s="47" t="inlineStr">
        <is>
          <t>MAREANA MARKETING LLC</t>
        </is>
      </c>
      <c r="B30" s="48" t="inlineStr">
        <is>
          <t>Qsim</t>
        </is>
      </c>
      <c r="C30" s="48" t="inlineStr">
        <is>
          <t>Visual Territory Planning Tool - CSS only</t>
        </is>
      </c>
      <c r="D30" s="49" t="inlineStr">
        <is>
          <t>No</t>
        </is>
      </c>
      <c r="E30" s="49" t="inlineStr">
        <is>
          <t>SaaS</t>
        </is>
      </c>
      <c r="F30" s="49" t="inlineStr">
        <is>
          <t>Mary Salama</t>
        </is>
      </c>
      <c r="G30" s="48" t="inlineStr">
        <is>
          <t>Sales Ops</t>
        </is>
      </c>
      <c r="H30" s="49" t="inlineStr">
        <is>
          <t>Mike McBreen</t>
        </is>
      </c>
    </row>
    <row r="31" ht="29.5" customHeight="1" s="142">
      <c r="A31" s="41" t="inlineStr">
        <is>
          <t>Microsoft</t>
        </is>
      </c>
      <c r="B31" s="36" t="inlineStr">
        <is>
          <t>Power Apps/Power BI</t>
        </is>
      </c>
      <c r="C31" s="36" t="inlineStr">
        <is>
          <t>Analytics</t>
        </is>
      </c>
      <c r="D31" s="36" t="inlineStr">
        <is>
          <t>No</t>
        </is>
      </c>
      <c r="E31" s="36" t="inlineStr">
        <is>
          <t>Azure Cloud</t>
        </is>
      </c>
      <c r="F31" s="36" t="inlineStr">
        <is>
          <t>Amit Singhal</t>
        </is>
      </c>
      <c r="G31" s="40" t="inlineStr">
        <is>
          <t>Transversal</t>
        </is>
      </c>
      <c r="H31" s="40" t="inlineStr">
        <is>
          <t>Transversal use</t>
        </is>
      </c>
    </row>
    <row r="32" ht="58.5" customHeight="1" s="142">
      <c r="A32" s="41" t="inlineStr">
        <is>
          <t>Microsoft</t>
        </is>
      </c>
      <c r="B32" s="36" t="inlineStr">
        <is>
          <t>Microsoft Office 365</t>
        </is>
      </c>
      <c r="C32" s="36" t="inlineStr">
        <is>
          <t>Offers a wide range of software products, services, and solutions, including operating systems, office productivity tools, and cloud computing services.</t>
        </is>
      </c>
      <c r="D32" s="36" t="inlineStr">
        <is>
          <t>No</t>
        </is>
      </c>
      <c r="E32" s="36" t="inlineStr">
        <is>
          <t>SaaS (Azure)</t>
        </is>
      </c>
      <c r="F32" s="40" t="inlineStr">
        <is>
          <t>Steve Swierczek</t>
        </is>
      </c>
      <c r="G32" s="40" t="inlineStr">
        <is>
          <t>Information System</t>
        </is>
      </c>
      <c r="H32" s="36" t="inlineStr">
        <is>
          <t>Dimitri Kvares</t>
        </is>
      </c>
    </row>
    <row r="33" ht="29.5" customHeight="1" s="142">
      <c r="A33" s="41" t="inlineStr">
        <is>
          <t>MIRACLE SOFTWARE SYSTEMS INC</t>
        </is>
      </c>
      <c r="B33" s="36" t="inlineStr">
        <is>
          <t>Qradar</t>
        </is>
      </c>
      <c r="C33" s="36" t="inlineStr">
        <is>
          <t>Monitors for security events on all network devices.</t>
        </is>
      </c>
      <c r="D33" s="40" t="inlineStr">
        <is>
          <t>No</t>
        </is>
      </c>
      <c r="E33" s="40" t="inlineStr">
        <is>
          <t>SaaS</t>
        </is>
      </c>
      <c r="F33" s="40" t="inlineStr">
        <is>
          <t>Matt Cerny</t>
        </is>
      </c>
      <c r="G33" s="36" t="inlineStr">
        <is>
          <t>Information System</t>
        </is>
      </c>
      <c r="H33" s="40" t="inlineStr">
        <is>
          <t>Dimitri Kvares</t>
        </is>
      </c>
    </row>
    <row r="34" ht="44.15" customHeight="1" s="142">
      <c r="A34" s="41" t="inlineStr">
        <is>
          <t>Miro</t>
        </is>
      </c>
      <c r="B34" s="36" t="inlineStr">
        <is>
          <t>Miro</t>
        </is>
      </c>
      <c r="C34" s="36" t="inlineStr">
        <is>
          <t>Offers an online collaborative whiteboard platform to improve team collaboration and project management.</t>
        </is>
      </c>
      <c r="D34" s="36" t="inlineStr">
        <is>
          <t>No</t>
        </is>
      </c>
      <c r="E34" s="36" t="inlineStr">
        <is>
          <t>SaaS</t>
        </is>
      </c>
      <c r="F34" s="36" t="inlineStr">
        <is>
          <t>Amit Singhal</t>
        </is>
      </c>
      <c r="G34" s="36" t="inlineStr">
        <is>
          <t>Information System</t>
        </is>
      </c>
      <c r="H34" s="36" t="inlineStr">
        <is>
          <t>Dimitri Kvares</t>
        </is>
      </c>
    </row>
    <row r="35" ht="58.5" customHeight="1" s="142">
      <c r="A35" s="34" t="inlineStr">
        <is>
          <t>MODEL N INC</t>
        </is>
      </c>
      <c r="B35" s="36" t="inlineStr">
        <is>
          <t>Model N - Contract</t>
        </is>
      </c>
      <c r="C35" s="36" t="inlineStr">
        <is>
          <t>Customer Contract Management</t>
        </is>
      </c>
      <c r="D35" s="36" t="inlineStr">
        <is>
          <t>No</t>
        </is>
      </c>
      <c r="E35" s="36" t="inlineStr">
        <is>
          <t>SaaS</t>
        </is>
      </c>
      <c r="F35" s="36" t="inlineStr">
        <is>
          <t>Mary Salama</t>
        </is>
      </c>
      <c r="G35" s="40" t="inlineStr">
        <is>
          <t>Sales Ops</t>
        </is>
      </c>
      <c r="H35" s="36" t="inlineStr">
        <is>
          <t>Robert Davis/Mike McBreen/Harvinder Singh</t>
        </is>
      </c>
    </row>
    <row r="36" ht="29.5" customHeight="1" s="142">
      <c r="A36" s="45" t="inlineStr">
        <is>
          <t>MODEL N INC</t>
        </is>
      </c>
      <c r="B36" s="48" t="inlineStr">
        <is>
          <t>Model N - Tender</t>
        </is>
      </c>
      <c r="C36" s="48" t="inlineStr">
        <is>
          <t>Tender Contract Management</t>
        </is>
      </c>
      <c r="D36" s="48" t="inlineStr">
        <is>
          <t>No</t>
        </is>
      </c>
      <c r="E36" s="48" t="inlineStr">
        <is>
          <t>SaaS</t>
        </is>
      </c>
      <c r="F36" s="48" t="inlineStr">
        <is>
          <t>Mary Salama</t>
        </is>
      </c>
      <c r="G36" s="48" t="inlineStr">
        <is>
          <t>International</t>
        </is>
      </c>
      <c r="H36" s="48" t="inlineStr">
        <is>
          <t>Harvinder Singh</t>
        </is>
      </c>
    </row>
    <row r="37" ht="29.5" customHeight="1" s="142">
      <c r="A37" s="41" t="inlineStr">
        <is>
          <t>OnePlan</t>
        </is>
      </c>
      <c r="B37" s="36" t="inlineStr">
        <is>
          <t>OnePlan</t>
        </is>
      </c>
      <c r="C37" s="36" t="inlineStr">
        <is>
          <t>Project Management software (use by IS - CMC deployment in progress)</t>
        </is>
      </c>
      <c r="D37" s="36" t="inlineStr">
        <is>
          <t>No</t>
        </is>
      </c>
      <c r="E37" s="36" t="inlineStr">
        <is>
          <t>SaaS</t>
        </is>
      </c>
      <c r="F37" s="36" t="inlineStr">
        <is>
          <t>Laetitia Delolme</t>
        </is>
      </c>
      <c r="G37" s="36" t="inlineStr">
        <is>
          <t>Information System</t>
        </is>
      </c>
      <c r="H37" s="36" t="inlineStr">
        <is>
          <t>Dimitri Kvares</t>
        </is>
      </c>
    </row>
    <row r="38" ht="29.5" customHeight="1" s="142">
      <c r="A38" s="42" t="inlineStr">
        <is>
          <t>ONETRUST LLC</t>
        </is>
      </c>
      <c r="B38" s="43" t="inlineStr">
        <is>
          <t>OneTrust</t>
        </is>
      </c>
      <c r="C38" s="40" t="inlineStr">
        <is>
          <t>IS/IT Supplier online assessment for security &amp; compliance</t>
        </is>
      </c>
      <c r="D38" s="40" t="inlineStr">
        <is>
          <t>No</t>
        </is>
      </c>
      <c r="E38" s="40" t="inlineStr">
        <is>
          <t>SaaS</t>
        </is>
      </c>
      <c r="F38" s="40" t="inlineStr">
        <is>
          <t>Laetitia Delolme
Matthew Cerny</t>
        </is>
      </c>
      <c r="G38" s="36" t="inlineStr">
        <is>
          <t>Information System</t>
        </is>
      </c>
      <c r="H38" s="40" t="inlineStr">
        <is>
          <t>Dimitri Kvares</t>
        </is>
      </c>
    </row>
    <row r="39" ht="29.5" customHeight="1" s="142">
      <c r="A39" s="42" t="inlineStr">
        <is>
          <t>OPEN TEXT INC</t>
        </is>
      </c>
      <c r="B39" s="43" t="inlineStr">
        <is>
          <t>RightFax</t>
        </is>
      </c>
      <c r="C39" s="36" t="inlineStr">
        <is>
          <t>Faxing inbound and outbound on corporate location.</t>
        </is>
      </c>
      <c r="D39" s="40" t="inlineStr">
        <is>
          <t>No</t>
        </is>
      </c>
      <c r="E39" s="40" t="inlineStr">
        <is>
          <t>SaaS</t>
        </is>
      </c>
      <c r="F39" s="40" t="inlineStr">
        <is>
          <t>Steve Swierczek</t>
        </is>
      </c>
      <c r="G39" s="36" t="inlineStr">
        <is>
          <t>Information System</t>
        </is>
      </c>
      <c r="H39" s="40" t="inlineStr">
        <is>
          <t>Dimitri Kvares</t>
        </is>
      </c>
    </row>
    <row r="40" ht="29.5" customHeight="1" s="142">
      <c r="A40" s="42" t="inlineStr">
        <is>
          <t>OPEN TEXT INC</t>
        </is>
      </c>
      <c r="B40" s="43" t="inlineStr">
        <is>
          <t>YouSendIt/Hightail</t>
        </is>
      </c>
      <c r="C40" s="40" t="inlineStr">
        <is>
          <t>A cloud service that lets users send, receive, digitally sign and synchronize files</t>
        </is>
      </c>
      <c r="D40" s="40" t="inlineStr">
        <is>
          <t>No</t>
        </is>
      </c>
      <c r="E40" s="40" t="inlineStr">
        <is>
          <t>SaaS</t>
        </is>
      </c>
      <c r="F40" s="40" t="inlineStr">
        <is>
          <t>Steve Swierczek</t>
        </is>
      </c>
      <c r="G40" s="36" t="inlineStr">
        <is>
          <t>Information System</t>
        </is>
      </c>
      <c r="H40" s="40" t="inlineStr">
        <is>
          <t>Dimitri Kvares</t>
        </is>
      </c>
    </row>
    <row r="41" ht="29.5" customHeight="1" s="142">
      <c r="A41" s="41" t="inlineStr">
        <is>
          <t>Oracle</t>
        </is>
      </c>
      <c r="B41" s="36" t="inlineStr">
        <is>
          <t>Agile</t>
        </is>
      </c>
      <c r="C41" s="36" t="inlineStr">
        <is>
          <t>Product Lifecycle Management (use also for UDI &amp; Document Control)</t>
        </is>
      </c>
      <c r="D41" s="36" t="inlineStr">
        <is>
          <t>Yes</t>
        </is>
      </c>
      <c r="E41" s="36" t="inlineStr">
        <is>
          <t>On Prem (Cloud)</t>
        </is>
      </c>
      <c r="F41" s="36" t="inlineStr">
        <is>
          <t>Tushar Choksi</t>
        </is>
      </c>
      <c r="G41" s="36" t="inlineStr">
        <is>
          <t>Quality</t>
        </is>
      </c>
      <c r="H41" s="36" t="inlineStr">
        <is>
          <t>Linnette Torres</t>
        </is>
      </c>
    </row>
    <row r="42" ht="29.5" customHeight="1" s="142">
      <c r="A42" s="42" t="inlineStr">
        <is>
          <t>Oracle</t>
        </is>
      </c>
      <c r="B42" s="43" t="inlineStr">
        <is>
          <t>Oracle Cloud Commerce</t>
        </is>
      </c>
      <c r="C42" s="40" t="inlineStr">
        <is>
          <t>Oracle Cloud Commerce (OCC)</t>
        </is>
      </c>
      <c r="D42" s="40" t="inlineStr">
        <is>
          <t>No</t>
        </is>
      </c>
      <c r="E42" s="40" t="inlineStr">
        <is>
          <t>SaaS</t>
        </is>
      </c>
      <c r="F42" s="40" t="inlineStr">
        <is>
          <t>Tushar Choksi</t>
        </is>
      </c>
      <c r="G42" s="40" t="inlineStr">
        <is>
          <t>Digital Marketing</t>
        </is>
      </c>
      <c r="H42" s="40" t="inlineStr">
        <is>
          <t>Chantal Veillon</t>
        </is>
      </c>
    </row>
    <row r="43" ht="29.5" customHeight="1" s="142">
      <c r="A43" s="42" t="inlineStr">
        <is>
          <t>Oracle</t>
        </is>
      </c>
      <c r="B43" s="36" t="inlineStr">
        <is>
          <t>Oracle Demand Planning</t>
        </is>
      </c>
      <c r="C43" s="36" t="inlineStr">
        <is>
          <t>Oracle Demand Planning</t>
        </is>
      </c>
      <c r="D43" s="36" t="inlineStr">
        <is>
          <t>No</t>
        </is>
      </c>
      <c r="E43" s="36" t="inlineStr">
        <is>
          <t>SaaS</t>
        </is>
      </c>
      <c r="F43" s="40" t="inlineStr">
        <is>
          <t>Tushar Choksi</t>
        </is>
      </c>
      <c r="G43" s="40" t="inlineStr">
        <is>
          <t>Logistic/Supply Chain</t>
        </is>
      </c>
      <c r="H43" s="40" t="inlineStr">
        <is>
          <t>Valerie Young</t>
        </is>
      </c>
    </row>
    <row r="44" ht="29.5" customHeight="1" s="142">
      <c r="A44" s="42" t="inlineStr">
        <is>
          <t>Oracle</t>
        </is>
      </c>
      <c r="B44" s="36" t="inlineStr">
        <is>
          <t>Oracle Identity Management (OIM)</t>
        </is>
      </c>
      <c r="C44" s="36" t="inlineStr">
        <is>
          <t>Oracle Identity Management</t>
        </is>
      </c>
      <c r="D44" s="36" t="inlineStr">
        <is>
          <t>Yes</t>
        </is>
      </c>
      <c r="E44" s="40" t="inlineStr">
        <is>
          <t>On Prem (Cloud)</t>
        </is>
      </c>
      <c r="F44" s="36" t="inlineStr">
        <is>
          <t>Tushar Choksi</t>
        </is>
      </c>
      <c r="G44" s="36" t="inlineStr">
        <is>
          <t>Information System</t>
        </is>
      </c>
      <c r="H44" s="36" t="inlineStr">
        <is>
          <t>Dimitri Kvares</t>
        </is>
      </c>
    </row>
    <row r="45" ht="29.5" customHeight="1" s="142">
      <c r="A45" s="42" t="inlineStr">
        <is>
          <t>Oracle</t>
        </is>
      </c>
      <c r="B45" s="36" t="inlineStr">
        <is>
          <t>Oracle Incentive Compensation (OIC)</t>
        </is>
      </c>
      <c r="C45" s="36" t="inlineStr">
        <is>
          <t>Oracle Incentive Compensation</t>
        </is>
      </c>
      <c r="D45" s="36" t="inlineStr">
        <is>
          <t>No</t>
        </is>
      </c>
      <c r="E45" s="36" t="inlineStr">
        <is>
          <t>SaaS</t>
        </is>
      </c>
      <c r="F45" s="36" t="inlineStr">
        <is>
          <t>Tushar Choksi</t>
        </is>
      </c>
      <c r="G45" s="36" t="inlineStr">
        <is>
          <t>Sales Ops</t>
        </is>
      </c>
      <c r="H45" s="36" t="inlineStr">
        <is>
          <t>Mike McBreen</t>
        </is>
      </c>
    </row>
    <row r="46" ht="29.5" customHeight="1" s="142">
      <c r="A46" s="42" t="inlineStr">
        <is>
          <t>Oracle</t>
        </is>
      </c>
      <c r="B46" s="36" t="inlineStr">
        <is>
          <t>Oracle Integration Cloud(OIC)</t>
        </is>
      </c>
      <c r="C46" s="36" t="inlineStr">
        <is>
          <t>Oracle Integration Cloud</t>
        </is>
      </c>
      <c r="D46" s="36" t="inlineStr">
        <is>
          <t>No</t>
        </is>
      </c>
      <c r="E46" s="36" t="inlineStr">
        <is>
          <t>SaaS</t>
        </is>
      </c>
      <c r="F46" s="36" t="inlineStr">
        <is>
          <t>Tushar Choksi</t>
        </is>
      </c>
      <c r="G46" s="36" t="inlineStr">
        <is>
          <t>Sales Ops</t>
        </is>
      </c>
      <c r="H46" s="36" t="inlineStr">
        <is>
          <t>Mike McBreen</t>
        </is>
      </c>
    </row>
    <row r="47" ht="44.15" customHeight="1" s="142">
      <c r="A47" s="42" t="inlineStr">
        <is>
          <t>Oracle</t>
        </is>
      </c>
      <c r="B47" s="36" t="inlineStr">
        <is>
          <t>Oracle EBS R12</t>
        </is>
      </c>
      <c r="C47" s="40" t="inlineStr">
        <is>
          <t>Corporate ERP including Order to Cash, Procure to Pay, Record to Report, Manufacturing processes</t>
        </is>
      </c>
      <c r="D47" s="40" t="inlineStr">
        <is>
          <t>Yes</t>
        </is>
      </c>
      <c r="E47" s="40" t="inlineStr">
        <is>
          <t>On Prem (Cloud)</t>
        </is>
      </c>
      <c r="F47" s="40" t="inlineStr">
        <is>
          <t>Tushar Choksi</t>
        </is>
      </c>
      <c r="G47" s="40" t="inlineStr">
        <is>
          <t>Transversal</t>
        </is>
      </c>
      <c r="H47" s="40" t="inlineStr">
        <is>
          <t>Transversal use</t>
        </is>
      </c>
    </row>
    <row r="48">
      <c r="A48" s="34" t="inlineStr">
        <is>
          <t>PROFISEE GROUP INC</t>
        </is>
      </c>
      <c r="B48" s="36" t="inlineStr">
        <is>
          <t>Profisee</t>
        </is>
      </c>
      <c r="C48" s="36" t="inlineStr">
        <is>
          <t>Master Data Management solution</t>
        </is>
      </c>
      <c r="D48" s="36" t="inlineStr">
        <is>
          <t>Yes</t>
        </is>
      </c>
      <c r="E48" s="36" t="inlineStr">
        <is>
          <t>SaaS</t>
        </is>
      </c>
      <c r="F48" s="36" t="inlineStr">
        <is>
          <t>Amit Singhal</t>
        </is>
      </c>
      <c r="G48" s="36" t="inlineStr">
        <is>
          <t>Customer Service</t>
        </is>
      </c>
      <c r="H48" s="36" t="inlineStr">
        <is>
          <t>Lea Knight</t>
        </is>
      </c>
    </row>
    <row r="49" ht="29.5" customHeight="1" s="142">
      <c r="A49" s="41" t="inlineStr">
        <is>
          <t>QAD INC</t>
        </is>
      </c>
      <c r="B49" s="36" t="inlineStr">
        <is>
          <t>QAD</t>
        </is>
      </c>
      <c r="C49" s="36" t="inlineStr">
        <is>
          <t>Acclarent QAD solution</t>
        </is>
      </c>
      <c r="D49" s="40" t="inlineStr">
        <is>
          <t>Yes</t>
        </is>
      </c>
      <c r="E49" s="40" t="inlineStr">
        <is>
          <t>?</t>
        </is>
      </c>
      <c r="F49" s="40" t="inlineStr">
        <is>
          <t>Tushar Choksi</t>
        </is>
      </c>
      <c r="G49" s="36" t="inlineStr">
        <is>
          <t>Quality</t>
        </is>
      </c>
      <c r="H49" s="40" t="inlineStr">
        <is>
          <t>Linnette Torres</t>
        </is>
      </c>
    </row>
    <row r="50" ht="44.15" customHeight="1" s="142">
      <c r="A50" s="34" t="inlineStr">
        <is>
          <t>QUEST SOFTWARE INC</t>
        </is>
      </c>
      <c r="B50" s="36" t="inlineStr">
        <is>
          <t>Quest Toad</t>
        </is>
      </c>
      <c r="C50" s="36" t="inlineStr">
        <is>
          <t>Offers software solutions for database management, application management, Windows management, and cybersecurity.</t>
        </is>
      </c>
      <c r="D50" s="40" t="inlineStr">
        <is>
          <t>No</t>
        </is>
      </c>
      <c r="E50" s="36" t="inlineStr">
        <is>
          <t>On Prem</t>
        </is>
      </c>
      <c r="F50" s="40" t="inlineStr">
        <is>
          <t>Viral Thakker</t>
        </is>
      </c>
      <c r="G50" s="36" t="inlineStr">
        <is>
          <t>Information System</t>
        </is>
      </c>
      <c r="H50" s="40" t="inlineStr">
        <is>
          <t>Dimitri Kvares</t>
        </is>
      </c>
    </row>
    <row r="51" ht="44.15" customHeight="1" s="142">
      <c r="A51" s="41" t="inlineStr">
        <is>
          <t>SABA SOFTWARE INC</t>
        </is>
      </c>
      <c r="B51" s="36" t="inlineStr">
        <is>
          <t>ICDH/Saba LMS</t>
        </is>
      </c>
      <c r="C51" s="36" t="inlineStr">
        <is>
          <t>Integra Colleague Development Hub / Learning Management System (Saba system)</t>
        </is>
      </c>
      <c r="D51" s="36" t="inlineStr">
        <is>
          <t>Yes</t>
        </is>
      </c>
      <c r="E51" s="36" t="inlineStr">
        <is>
          <t>SaaS</t>
        </is>
      </c>
      <c r="F51" s="36" t="inlineStr">
        <is>
          <t>Laetitia Delolme</t>
        </is>
      </c>
      <c r="G51" s="36" t="inlineStr">
        <is>
          <t>HR</t>
        </is>
      </c>
      <c r="H51" s="36" t="inlineStr">
        <is>
          <t>Chantal Veillon/Linnette Torres</t>
        </is>
      </c>
    </row>
    <row r="52" ht="44.15" customHeight="1" s="142">
      <c r="A52" s="45" t="inlineStr">
        <is>
          <t>SAGE ACCPAC INTERNATIONAL INC</t>
        </is>
      </c>
      <c r="B52" s="48" t="inlineStr">
        <is>
          <t>MAS200</t>
        </is>
      </c>
      <c r="C52" s="48" t="inlineStr">
        <is>
          <t>Sage ERP used in Boston</t>
        </is>
      </c>
      <c r="D52" s="48" t="inlineStr">
        <is>
          <t>No</t>
        </is>
      </c>
      <c r="E52" s="48" t="inlineStr">
        <is>
          <t>On Prem</t>
        </is>
      </c>
      <c r="F52" s="49" t="inlineStr">
        <is>
          <t>Tushar Choksi</t>
        </is>
      </c>
      <c r="G52" s="49" t="inlineStr">
        <is>
          <t>Operations</t>
        </is>
      </c>
      <c r="H52" s="48" t="inlineStr">
        <is>
          <t>Lea Knight/Valerie Young</t>
        </is>
      </c>
    </row>
    <row r="53" ht="58.5" customHeight="1" s="142">
      <c r="A53" s="34" t="inlineStr">
        <is>
          <t>SALESFORCE COM INC</t>
        </is>
      </c>
      <c r="B53" s="36" t="inlineStr">
        <is>
          <t>Salesforce SFDC (Core)</t>
        </is>
      </c>
      <c r="C53" s="40" t="inlineStr">
        <is>
          <t>Customer Relationship Management</t>
        </is>
      </c>
      <c r="D53" s="40" t="inlineStr">
        <is>
          <t>No</t>
        </is>
      </c>
      <c r="E53" s="40" t="inlineStr">
        <is>
          <t>SaaS</t>
        </is>
      </c>
      <c r="F53" s="43" t="inlineStr">
        <is>
          <t>Mary Salama</t>
        </is>
      </c>
      <c r="G53" s="40" t="inlineStr">
        <is>
          <t>Sales Ops</t>
        </is>
      </c>
      <c r="H53" s="36" t="inlineStr">
        <is>
          <t>Robert Davis/Mike McBreen/Harvinder Singh</t>
        </is>
      </c>
    </row>
    <row r="54" ht="58.5" customHeight="1" s="142">
      <c r="A54" s="34" t="inlineStr">
        <is>
          <t>SALESFORCE COM INC</t>
        </is>
      </c>
      <c r="B54" s="36" t="inlineStr">
        <is>
          <t>Salesforce CPQ</t>
        </is>
      </c>
      <c r="C54" s="40" t="inlineStr">
        <is>
          <t>Configure Price Quote in Salesforce</t>
        </is>
      </c>
      <c r="D54" s="40" t="inlineStr">
        <is>
          <t>No</t>
        </is>
      </c>
      <c r="E54" s="40" t="inlineStr">
        <is>
          <t>SaaS</t>
        </is>
      </c>
      <c r="F54" s="43" t="inlineStr">
        <is>
          <t>Mary Salama</t>
        </is>
      </c>
      <c r="G54" s="40" t="inlineStr">
        <is>
          <t>Sales Ops</t>
        </is>
      </c>
      <c r="H54" s="36" t="inlineStr">
        <is>
          <t>Robert Davis/Mike McBreen/Harvinder Singh</t>
        </is>
      </c>
    </row>
    <row r="55" ht="58.5" customHeight="1" s="142">
      <c r="A55" s="34" t="inlineStr">
        <is>
          <t>SALESFORCE COM INC</t>
        </is>
      </c>
      <c r="B55" s="36" t="inlineStr">
        <is>
          <t>Salesforce Einstein</t>
        </is>
      </c>
      <c r="C55" s="40" t="inlineStr">
        <is>
          <t>Analytics in Salesforce</t>
        </is>
      </c>
      <c r="D55" s="40" t="inlineStr">
        <is>
          <t>No</t>
        </is>
      </c>
      <c r="E55" s="40" t="inlineStr">
        <is>
          <t>SaaS</t>
        </is>
      </c>
      <c r="F55" s="43" t="inlineStr">
        <is>
          <t>Mary Salama</t>
        </is>
      </c>
      <c r="G55" s="40" t="inlineStr">
        <is>
          <t>Sales Ops</t>
        </is>
      </c>
      <c r="H55" s="36" t="inlineStr">
        <is>
          <t>Robert Davis/Mike McBreen/Harvinder Singh</t>
        </is>
      </c>
    </row>
    <row r="56" ht="58.5" customHeight="1" s="142">
      <c r="A56" s="41" t="inlineStr">
        <is>
          <t>ServiceNow</t>
        </is>
      </c>
      <c r="B56" s="36" t="inlineStr">
        <is>
          <t>ServiceNow</t>
        </is>
      </c>
      <c r="C56" s="36" t="inlineStr">
        <is>
          <t>Ticket (IS/HR/MDM) &amp; IS change control system - Asset Management tool</t>
        </is>
      </c>
      <c r="D56" s="36" t="inlineStr">
        <is>
          <t xml:space="preserve">Both </t>
        </is>
      </c>
      <c r="E56" s="36" t="inlineStr">
        <is>
          <t>SaaS</t>
        </is>
      </c>
      <c r="F56" s="36" t="inlineStr">
        <is>
          <t>Viral Thakker (non GxP)
Laetitia Delolme (GxP)</t>
        </is>
      </c>
      <c r="G56" s="36" t="inlineStr">
        <is>
          <t>Information System</t>
        </is>
      </c>
      <c r="H56" s="36" t="inlineStr">
        <is>
          <t>Dimitri Kvares</t>
        </is>
      </c>
    </row>
    <row r="57">
      <c r="A57" s="34" t="inlineStr">
        <is>
          <t>SHI reseller (CrowdStrike)</t>
        </is>
      </c>
      <c r="B57" s="35" t="inlineStr">
        <is>
          <t>Falcon Complete Flex</t>
        </is>
      </c>
      <c r="C57" s="36" t="inlineStr">
        <is>
          <t>Cybersecurity platform - End Point Detection</t>
        </is>
      </c>
      <c r="D57" s="36" t="inlineStr">
        <is>
          <t>No</t>
        </is>
      </c>
      <c r="E57" s="36" t="inlineStr">
        <is>
          <t>SaaS</t>
        </is>
      </c>
      <c r="F57" s="40" t="inlineStr">
        <is>
          <t>Matt Cerny</t>
        </is>
      </c>
      <c r="G57" s="36" t="inlineStr">
        <is>
          <t>Information System</t>
        </is>
      </c>
      <c r="H57" s="40" t="inlineStr">
        <is>
          <t>Dimitri Kvares</t>
        </is>
      </c>
    </row>
    <row r="58">
      <c r="A58" s="41" t="inlineStr">
        <is>
          <t>SHI reseller (Proofpoint)</t>
        </is>
      </c>
      <c r="B58" s="36" t="inlineStr">
        <is>
          <t>Proofpoint</t>
        </is>
      </c>
      <c r="C58" s="36" t="inlineStr">
        <is>
          <t>PFPT Threat Response Auto-Pul software</t>
        </is>
      </c>
      <c r="D58" s="36" t="inlineStr">
        <is>
          <t>No</t>
        </is>
      </c>
      <c r="E58" s="36" t="inlineStr">
        <is>
          <t>SaaS</t>
        </is>
      </c>
      <c r="F58" s="36" t="inlineStr">
        <is>
          <t>Matt Cerny</t>
        </is>
      </c>
      <c r="G58" s="40" t="inlineStr">
        <is>
          <t>Information System</t>
        </is>
      </c>
      <c r="H58" s="40" t="inlineStr">
        <is>
          <t>Dimitri Kvares</t>
        </is>
      </c>
    </row>
    <row r="59">
      <c r="A59" s="41" t="inlineStr">
        <is>
          <t>SHI reseller (Rapid7)</t>
        </is>
      </c>
      <c r="B59" s="36" t="inlineStr">
        <is>
          <t>Rapid7</t>
        </is>
      </c>
      <c r="C59" s="36" t="inlineStr">
        <is>
          <t>Security monitoring solution</t>
        </is>
      </c>
      <c r="D59" s="40" t="inlineStr">
        <is>
          <t>No</t>
        </is>
      </c>
      <c r="E59" s="40" t="inlineStr">
        <is>
          <t>SaaS</t>
        </is>
      </c>
      <c r="F59" s="40" t="inlineStr">
        <is>
          <t>Matt Cerny</t>
        </is>
      </c>
      <c r="G59" s="36" t="inlineStr">
        <is>
          <t>Information System</t>
        </is>
      </c>
      <c r="H59" s="40" t="inlineStr">
        <is>
          <t>Dimitri Kvares</t>
        </is>
      </c>
    </row>
    <row r="60">
      <c r="A60" s="42" t="inlineStr">
        <is>
          <t>SHI reseller (Valimail)</t>
        </is>
      </c>
      <c r="B60" s="43" t="inlineStr">
        <is>
          <t>Valimail Enforce</t>
        </is>
      </c>
      <c r="C60" s="40" t="inlineStr">
        <is>
          <t>Leading email authentification software</t>
        </is>
      </c>
      <c r="D60" s="40" t="inlineStr">
        <is>
          <t>No</t>
        </is>
      </c>
      <c r="E60" s="40" t="inlineStr">
        <is>
          <t>SaaS</t>
        </is>
      </c>
      <c r="F60" s="40" t="inlineStr">
        <is>
          <t>Matt Cerny</t>
        </is>
      </c>
      <c r="G60" s="36" t="inlineStr">
        <is>
          <t>Information System</t>
        </is>
      </c>
      <c r="H60" s="40" t="inlineStr">
        <is>
          <t>Dimitri Kvares</t>
        </is>
      </c>
    </row>
    <row r="61">
      <c r="A61" s="41" t="inlineStr">
        <is>
          <t>SIEMENS INDUSTRY SOFTWARE INC</t>
        </is>
      </c>
      <c r="B61" s="36" t="inlineStr">
        <is>
          <t>Teamcenter</t>
        </is>
      </c>
      <c r="C61" s="40" t="inlineStr">
        <is>
          <t xml:space="preserve">Computer-Aided Design (CAD) </t>
        </is>
      </c>
      <c r="D61" s="40" t="inlineStr">
        <is>
          <t>Yes</t>
        </is>
      </c>
      <c r="E61" s="40" t="inlineStr">
        <is>
          <t>On Prem</t>
        </is>
      </c>
      <c r="F61" s="35" t="inlineStr">
        <is>
          <t>Tushar Choksi</t>
        </is>
      </c>
      <c r="G61" s="36" t="inlineStr">
        <is>
          <t>Operations</t>
        </is>
      </c>
      <c r="H61" s="36" t="inlineStr">
        <is>
          <t>Valerie Young</t>
        </is>
      </c>
    </row>
    <row r="62">
      <c r="A62" s="34" t="inlineStr">
        <is>
          <t>SOURCE CALLE LLC</t>
        </is>
      </c>
      <c r="B62" s="36" t="inlineStr">
        <is>
          <t>Bitsight</t>
        </is>
      </c>
      <c r="C62" s="36" t="inlineStr">
        <is>
          <t>Risk monitoring</t>
        </is>
      </c>
      <c r="D62" s="36" t="inlineStr">
        <is>
          <t>No</t>
        </is>
      </c>
      <c r="E62" s="36" t="inlineStr">
        <is>
          <t>SaaS</t>
        </is>
      </c>
      <c r="F62" s="36" t="inlineStr">
        <is>
          <t>Matt Cerny</t>
        </is>
      </c>
      <c r="G62" s="36" t="inlineStr">
        <is>
          <t>Information System</t>
        </is>
      </c>
      <c r="H62" s="36" t="inlineStr">
        <is>
          <t>Dimitri Kvares</t>
        </is>
      </c>
    </row>
    <row r="63" ht="44.15" customHeight="1" s="142">
      <c r="A63" s="41" t="inlineStr">
        <is>
          <t>Sparta Honeywell</t>
        </is>
      </c>
      <c r="B63" s="36" t="inlineStr">
        <is>
          <t>Trackwise Digital</t>
        </is>
      </c>
      <c r="C63" s="36" t="inlineStr">
        <is>
          <t>Quality System - Current scope : Audit &amp; CAPA / NC implementation project in progress / SQM to start</t>
        </is>
      </c>
      <c r="D63" s="36" t="inlineStr">
        <is>
          <t>Yes</t>
        </is>
      </c>
      <c r="E63" s="36" t="inlineStr">
        <is>
          <t>SaaS</t>
        </is>
      </c>
      <c r="F63" s="35" t="inlineStr">
        <is>
          <t>Laetitia Delolme</t>
        </is>
      </c>
      <c r="G63" s="36" t="inlineStr">
        <is>
          <t>Quality</t>
        </is>
      </c>
      <c r="H63" s="35" t="inlineStr">
        <is>
          <t>Linnette Torres</t>
        </is>
      </c>
    </row>
    <row r="64">
      <c r="A64" s="41" t="inlineStr">
        <is>
          <t>Sparta Honeywell</t>
        </is>
      </c>
      <c r="B64" s="36" t="inlineStr">
        <is>
          <t>Trackwise On Prem</t>
        </is>
      </c>
      <c r="C64" s="36" t="inlineStr">
        <is>
          <t>Quality System - Current scope : Complaints</t>
        </is>
      </c>
      <c r="D64" s="36" t="inlineStr">
        <is>
          <t>Yes</t>
        </is>
      </c>
      <c r="E64" s="36" t="inlineStr">
        <is>
          <t>On Prem</t>
        </is>
      </c>
      <c r="F64" s="35" t="inlineStr">
        <is>
          <t>Laetitia Delolme</t>
        </is>
      </c>
      <c r="G64" s="36" t="inlineStr">
        <is>
          <t>Quality</t>
        </is>
      </c>
      <c r="H64" s="35" t="inlineStr">
        <is>
          <t>Linnette Torres</t>
        </is>
      </c>
    </row>
    <row r="65" ht="44.15" customHeight="1" s="142">
      <c r="A65" s="42" t="inlineStr">
        <is>
          <t>ValGenesis</t>
        </is>
      </c>
      <c r="B65" s="43" t="inlineStr">
        <is>
          <t>ValGenesis</t>
        </is>
      </c>
      <c r="C65" s="40" t="inlineStr">
        <is>
          <t>Validation Lifecycle Management System - online testing &amp; computer system validation documentation</t>
        </is>
      </c>
      <c r="D65" s="40" t="inlineStr">
        <is>
          <t>Yes</t>
        </is>
      </c>
      <c r="E65" s="40" t="inlineStr">
        <is>
          <t>SaaS</t>
        </is>
      </c>
      <c r="F65" s="40" t="inlineStr">
        <is>
          <t>Laetitia Delolme</t>
        </is>
      </c>
      <c r="G65" s="36" t="inlineStr">
        <is>
          <t>Information System</t>
        </is>
      </c>
      <c r="H65" s="40" t="inlineStr">
        <is>
          <t>Dimitri Kvares</t>
        </is>
      </c>
    </row>
    <row r="66">
      <c r="A66" s="34" t="inlineStr">
        <is>
          <t>VEEVA SYSTEMS INC</t>
        </is>
      </c>
      <c r="B66" s="36" t="inlineStr">
        <is>
          <t>Veeva RIMS</t>
        </is>
      </c>
      <c r="C66" s="40" t="inlineStr">
        <is>
          <t>Regulatory Information Management System</t>
        </is>
      </c>
      <c r="D66" s="40" t="inlineStr">
        <is>
          <t>Yes</t>
        </is>
      </c>
      <c r="E66" s="40" t="inlineStr">
        <is>
          <t>SaaS</t>
        </is>
      </c>
      <c r="F66" s="35" t="inlineStr">
        <is>
          <t>Tushar Choksi</t>
        </is>
      </c>
      <c r="G66" s="40" t="inlineStr">
        <is>
          <t>Regulatory</t>
        </is>
      </c>
      <c r="H66" s="35" t="inlineStr">
        <is>
          <t>Jessica Smith</t>
        </is>
      </c>
    </row>
    <row r="67">
      <c r="A67" s="44" t="inlineStr">
        <is>
          <t>SOA Suite</t>
        </is>
      </c>
    </row>
    <row r="68">
      <c r="A68" s="44" t="inlineStr">
        <is>
          <t>Tidal Enterprise Scheduler</t>
        </is>
      </c>
    </row>
    <row r="69">
      <c r="A69" s="44" t="inlineStr">
        <is>
          <t>Oracle Integration Cloud (OIC)</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97"/>
  <sheetViews>
    <sheetView topLeftCell="A88" zoomScale="70" zoomScaleNormal="70" workbookViewId="0">
      <selection activeCell="A91" sqref="A91"/>
    </sheetView>
  </sheetViews>
  <sheetFormatPr baseColWidth="8" defaultRowHeight="16"/>
  <cols>
    <col width="43.58203125" bestFit="1" customWidth="1" style="142" min="1" max="1"/>
    <col width="17.83203125" bestFit="1" customWidth="1" style="142" min="2" max="2"/>
    <col width="49.25" customWidth="1" style="142" min="3" max="3"/>
    <col width="19.33203125" customWidth="1" style="142" min="4" max="4"/>
    <col width="93.33203125" customWidth="1" style="142" min="5" max="5"/>
  </cols>
  <sheetData>
    <row r="1">
      <c r="A1" s="114" t="inlineStr">
        <is>
          <t>Vendor Names</t>
        </is>
      </c>
      <c r="B1" s="114" t="inlineStr">
        <is>
          <t>Sum of 2026 F3 TOTAL</t>
        </is>
      </c>
      <c r="C1" s="114" t="inlineStr">
        <is>
          <t>Vendor Description</t>
        </is>
      </c>
      <c r="D1" s="115" t="inlineStr">
        <is>
          <t>Portfolio Category</t>
        </is>
      </c>
      <c r="E1" s="116" t="inlineStr">
        <is>
          <t>Portfolio Category Description</t>
        </is>
      </c>
    </row>
    <row r="2" ht="80" customHeight="1" s="142">
      <c r="A2" s="117" t="inlineStr">
        <is>
          <t>SALESFORCE COM INC</t>
        </is>
      </c>
      <c r="B2" s="118" t="n">
        <v>3719565.27</v>
      </c>
      <c r="C2" s="119" t="inlineStr">
        <is>
          <t>Cloud CRM, sales, service, marketing, analytics, integration, and collaboration software/services.</t>
        </is>
      </c>
      <c r="D2" s="68" t="inlineStr">
        <is>
          <t>Sales</t>
        </is>
      </c>
      <c r="E2" s="68">
        <f>VLOOKUP(D2,CategorySummaryTable[],2,FALSE)</f>
        <v/>
      </c>
    </row>
    <row r="3" ht="80" customHeight="1" s="142">
      <c r="A3" s="117" t="inlineStr">
        <is>
          <t>MODEL N INC</t>
        </is>
      </c>
      <c r="B3" s="118" t="n">
        <v>1451824</v>
      </c>
      <c r="C3" s="119" t="inlineStr">
        <is>
          <t>Revenue management, pricing, contracting, and channel software for life sciences and high-tech companies.</t>
        </is>
      </c>
      <c r="D3" s="68" t="inlineStr">
        <is>
          <t>Sales</t>
        </is>
      </c>
      <c r="E3" s="68">
        <f>VLOOKUP(D3,CategorySummaryTable[],2,FALSE)</f>
        <v/>
      </c>
    </row>
    <row r="4" ht="96" customHeight="1" s="142">
      <c r="A4" s="117" t="inlineStr">
        <is>
          <t>GHX GLOBAL HEALTHCARE EXCHANGE</t>
        </is>
      </c>
      <c r="B4" s="118" t="n">
        <v>1265996</v>
      </c>
      <c r="C4" s="119" t="inlineStr">
        <is>
          <t>Healthcare supply chain, procurement, vendor credentialing, and order/invoice automation services.</t>
        </is>
      </c>
      <c r="D4" s="68" t="inlineStr">
        <is>
          <t>Supply Chain and Distribution</t>
        </is>
      </c>
      <c r="E4" s="68">
        <f>VLOOKUP(D4,CategorySummaryTable[],2,FALSE)</f>
        <v/>
      </c>
    </row>
    <row r="5" ht="80" customHeight="1" s="142">
      <c r="A5" s="117" t="inlineStr">
        <is>
          <t>WORKDAY INC</t>
        </is>
      </c>
      <c r="B5" s="118" t="n">
        <v>1252086.35</v>
      </c>
      <c r="C5" s="119" t="inlineStr">
        <is>
          <t>Cloud human capital management, payroll, finance, and planning software.</t>
        </is>
      </c>
      <c r="D5" s="68" t="inlineStr">
        <is>
          <t>Human Resources and Talent</t>
        </is>
      </c>
      <c r="E5" s="68">
        <f>VLOOKUP(D5,CategorySummaryTable[],2,FALSE)</f>
        <v/>
      </c>
    </row>
    <row r="6" ht="80" customHeight="1" s="142">
      <c r="A6" s="117" t="inlineStr">
        <is>
          <t>MOVEMEDICAL</t>
        </is>
      </c>
      <c r="B6" s="118" t="n">
        <v>845250</v>
      </c>
      <c r="C6" s="119" t="inlineStr">
        <is>
          <t>Cloud inventory, field operations, and logistics software for medical device companies.</t>
        </is>
      </c>
      <c r="D6" s="68" t="inlineStr">
        <is>
          <t>Sales</t>
        </is>
      </c>
      <c r="E6" s="68">
        <f>VLOOKUP(D6,CategorySummaryTable[],2,FALSE)</f>
        <v/>
      </c>
    </row>
    <row r="7" ht="80" customHeight="1" s="142">
      <c r="A7" s="117" t="inlineStr">
        <is>
          <t>SPARTA SYSTEMS INC</t>
        </is>
      </c>
      <c r="B7" s="118" t="n">
        <v>731177.84</v>
      </c>
      <c r="C7" s="119" t="inlineStr">
        <is>
          <t>Quality management software for regulated industries, especially life sciences and manufacturing.</t>
        </is>
      </c>
      <c r="D7" s="68" t="inlineStr">
        <is>
          <t>Quality and Validation</t>
        </is>
      </c>
      <c r="E7" s="68">
        <f>VLOOKUP(D7,CategorySummaryTable[],2,FALSE)</f>
        <v/>
      </c>
    </row>
    <row r="8" ht="64" customHeight="1" s="142">
      <c r="A8" s="117" t="inlineStr">
        <is>
          <t>CDW LLC</t>
        </is>
      </c>
      <c r="B8" s="118" t="n">
        <v>591538.28</v>
      </c>
      <c r="C8" s="119" t="inlineStr">
        <is>
          <t>IT hardware/software reseller plus cloud, security, and professional services.</t>
        </is>
      </c>
      <c r="D8" s="68" t="inlineStr">
        <is>
          <t>IT Operations</t>
        </is>
      </c>
      <c r="E8" s="68">
        <f>VLOOKUP(D8,CategorySummaryTable[],2,FALSE)</f>
        <v/>
      </c>
    </row>
    <row r="9" ht="64" customHeight="1" s="142">
      <c r="A9" s="117" t="inlineStr">
        <is>
          <t>SHI CORP</t>
        </is>
      </c>
      <c r="B9" s="118" t="n">
        <v>521608.32</v>
      </c>
      <c r="C9" s="119" t="inlineStr">
        <is>
          <t>IT procurement, software licensing, cloud, cybersecurity, and managed services provider.</t>
        </is>
      </c>
      <c r="D9" s="68" t="inlineStr">
        <is>
          <t>IT Operations</t>
        </is>
      </c>
      <c r="E9" s="68">
        <f>VLOOKUP(D9,CategorySummaryTable[],2,FALSE)</f>
        <v/>
      </c>
    </row>
    <row r="10" ht="80" customHeight="1" s="142">
      <c r="A10" s="117" t="inlineStr">
        <is>
          <t>AGILOFT</t>
        </is>
      </c>
      <c r="B10" s="118" t="n">
        <v>399500</v>
      </c>
      <c r="C10" s="119" t="inlineStr">
        <is>
          <t>Contract lifecycle management, workflow automation, and no-code business process software.</t>
        </is>
      </c>
      <c r="D10" s="68" t="inlineStr">
        <is>
          <t>Compliance and Risk</t>
        </is>
      </c>
      <c r="E10" s="68">
        <f>VLOOKUP(D10,CategorySummaryTable[],2,FALSE)</f>
        <v/>
      </c>
    </row>
    <row r="11" ht="96" customHeight="1" s="142">
      <c r="A11" s="120" t="inlineStr">
        <is>
          <t>VENDORMATE INC</t>
        </is>
      </c>
      <c r="B11" s="118" t="n">
        <v>394963</v>
      </c>
      <c r="C11" s="119" t="inlineStr">
        <is>
          <t>Healthcare vendor credentialing, compliance, and supply chain management services.</t>
        </is>
      </c>
      <c r="D11" s="68" t="inlineStr">
        <is>
          <t>Supply Chain and Distribution</t>
        </is>
      </c>
      <c r="E11" s="68">
        <f>VLOOKUP(D11,CategorySummaryTable[],2,FALSE)</f>
        <v/>
      </c>
    </row>
    <row r="12" ht="80" customHeight="1" s="142">
      <c r="A12" s="117" t="inlineStr">
        <is>
          <t>ADP INTERNATIONAL SERVICES BV</t>
        </is>
      </c>
      <c r="B12" s="118" t="n">
        <v>377064.836294</v>
      </c>
      <c r="C12" s="119" t="inlineStr">
        <is>
          <t>Global payroll, HR, tax, and human capital management services.</t>
        </is>
      </c>
      <c r="D12" s="68" t="inlineStr">
        <is>
          <t>Human Resources and Talent</t>
        </is>
      </c>
      <c r="E12" s="68">
        <f>VLOOKUP(D12,CategorySummaryTable[],2,FALSE)</f>
        <v/>
      </c>
    </row>
    <row r="13" ht="96" customHeight="1" s="142">
      <c r="A13" s="117" t="inlineStr">
        <is>
          <t>VEEVA SYSTEMS INC</t>
        </is>
      </c>
      <c r="B13" s="118" t="n">
        <v>367013.3</v>
      </c>
      <c r="C13" s="119" t="inlineStr">
        <is>
          <t>Cloud software for life sciences CRM, quality, regulatory, clinical, and content management.</t>
        </is>
      </c>
      <c r="D13" s="68" t="inlineStr">
        <is>
          <t>Regulatory Affairs</t>
        </is>
      </c>
      <c r="E13" s="68">
        <f>VLOOKUP(D13,CategorySummaryTable[],2,FALSE)</f>
        <v/>
      </c>
    </row>
    <row r="14" ht="80" customHeight="1" s="142">
      <c r="A14" s="117" t="inlineStr">
        <is>
          <t>FIVE9 INC</t>
        </is>
      </c>
      <c r="B14" s="118" t="n">
        <v>352305.46</v>
      </c>
      <c r="C14" s="119" t="inlineStr">
        <is>
          <t>Cloud contact center, customer service, workforce optimization, and AI communications software.</t>
        </is>
      </c>
      <c r="D14" s="68" t="inlineStr">
        <is>
          <t>Marketing</t>
        </is>
      </c>
      <c r="E14" s="68">
        <f>VLOOKUP(D14,CategorySummaryTable[],2,FALSE)</f>
        <v/>
      </c>
    </row>
    <row r="15" ht="96" customHeight="1" s="142">
      <c r="A15" s="117" t="inlineStr">
        <is>
          <t>KALLIK LTD</t>
        </is>
      </c>
      <c r="B15" s="118" t="n">
        <v>347244.683175</v>
      </c>
      <c r="C15" s="119" t="inlineStr">
        <is>
          <t>Labeling, artwork management, and regulatory content software for regulated products.</t>
        </is>
      </c>
      <c r="D15" s="68" t="inlineStr">
        <is>
          <t>Regulatory Affairs</t>
        </is>
      </c>
      <c r="E15" s="68">
        <f>VLOOKUP(D15,CategorySummaryTable[],2,FALSE)</f>
        <v/>
      </c>
    </row>
    <row r="16" ht="64" customHeight="1" s="142">
      <c r="A16" s="117" t="inlineStr">
        <is>
          <t>Wipro Limited</t>
        </is>
      </c>
      <c r="B16" s="118" t="n">
        <v>282274.4</v>
      </c>
      <c r="C16" s="119" t="inlineStr">
        <is>
          <t>IT consulting, application development, cloud, infrastructure, and business process services.</t>
        </is>
      </c>
      <c r="D16" s="68" t="inlineStr">
        <is>
          <t>IT Operations</t>
        </is>
      </c>
      <c r="E16" s="68">
        <f>VLOOKUP(D16,CategorySummaryTable[],2,FALSE)</f>
        <v/>
      </c>
    </row>
    <row r="17" ht="80" customHeight="1" s="142">
      <c r="A17" s="117" t="inlineStr">
        <is>
          <t>INSIGHT MEDICAL CONSULTING</t>
        </is>
      </c>
      <c r="B17" s="118" t="n">
        <v>230016.16</v>
      </c>
      <c r="C17" s="119" t="inlineStr">
        <is>
          <t>Healthcare consulting and advisory services; public product details are limited.</t>
        </is>
      </c>
      <c r="D17" s="68" t="inlineStr">
        <is>
          <t>Medical Affairs</t>
        </is>
      </c>
      <c r="E17" s="68">
        <f>VLOOKUP(D17,CategorySummaryTable[],2,FALSE)</f>
        <v/>
      </c>
    </row>
    <row r="18" ht="64" customHeight="1" s="142">
      <c r="A18" s="117" t="inlineStr">
        <is>
          <t>SYSTEMATICS LTD</t>
        </is>
      </c>
      <c r="B18" s="118" t="n">
        <v>228096</v>
      </c>
      <c r="C18" s="119" t="inlineStr">
        <is>
          <t>IT consulting and business systems/software services; public details are limited.</t>
        </is>
      </c>
      <c r="D18" s="68" t="inlineStr">
        <is>
          <t>IT Operations</t>
        </is>
      </c>
      <c r="E18" s="68">
        <f>VLOOKUP(D18,CategorySummaryTable[],2,FALSE)</f>
        <v/>
      </c>
    </row>
    <row r="19" ht="80" customHeight="1" s="142">
      <c r="A19" s="117" t="inlineStr">
        <is>
          <t>CORNERSTONE ON DEMAND INC</t>
        </is>
      </c>
      <c r="B19" s="118" t="n">
        <v>225631.03</v>
      </c>
      <c r="C19" s="119" t="inlineStr">
        <is>
          <t>Talent management, learning, recruiting, HR, and workforce experience software.</t>
        </is>
      </c>
      <c r="D19" s="68" t="inlineStr">
        <is>
          <t>Human Resources and Talent</t>
        </is>
      </c>
      <c r="E19" s="68">
        <f>VLOOKUP(D19,CategorySummaryTable[],2,FALSE)</f>
        <v/>
      </c>
    </row>
    <row r="20" ht="80" customHeight="1" s="142">
      <c r="A20" s="117" t="inlineStr">
        <is>
          <t>ADP LLC</t>
        </is>
      </c>
      <c r="B20" s="118" t="n">
        <v>199753.69</v>
      </c>
      <c r="C20" s="119" t="inlineStr">
        <is>
          <t>Payroll, HR, benefits, time tracking, and HCM software/services.</t>
        </is>
      </c>
      <c r="D20" s="68" t="inlineStr">
        <is>
          <t>Human Resources and Talent</t>
        </is>
      </c>
      <c r="E20" s="68">
        <f>VLOOKUP(D20,CategorySummaryTable[],2,FALSE)</f>
        <v/>
      </c>
    </row>
    <row r="21" ht="80" customHeight="1" s="142">
      <c r="A21" s="117" t="inlineStr">
        <is>
          <t>BLACKLINE SYSTEMS INC</t>
        </is>
      </c>
      <c r="B21" s="118" t="n">
        <v>195812.82</v>
      </c>
      <c r="C21" s="119" t="inlineStr">
        <is>
          <t>Financial close, account reconciliation, intercompany, and finance automation software.</t>
        </is>
      </c>
      <c r="D21" s="68" t="inlineStr">
        <is>
          <t>Finance</t>
        </is>
      </c>
      <c r="E21" s="68">
        <f>VLOOKUP(D21,CategorySummaryTable[],2,FALSE)</f>
        <v/>
      </c>
    </row>
    <row r="22" ht="80" customHeight="1" s="142">
      <c r="A22" s="117" t="inlineStr">
        <is>
          <t>CORITY SOFTWARE INC</t>
        </is>
      </c>
      <c r="B22" s="118" t="n">
        <v>185143.65</v>
      </c>
      <c r="C22" s="119" t="inlineStr">
        <is>
          <t>EHS, quality, regulatory, occupational health, and safety management software.</t>
        </is>
      </c>
      <c r="D22" s="68" t="inlineStr">
        <is>
          <t>Compliance and Risk</t>
        </is>
      </c>
      <c r="E22" s="68">
        <f>VLOOKUP(D22,CategorySummaryTable[],2,FALSE)</f>
        <v/>
      </c>
    </row>
    <row r="23" ht="80" customHeight="1" s="142">
      <c r="A23" s="117" t="inlineStr">
        <is>
          <t>GENSIGHT LIMITED</t>
        </is>
      </c>
      <c r="B23" s="118" t="n">
        <v>172208</v>
      </c>
      <c r="C23" s="119" t="inlineStr">
        <is>
          <t>Project and product portfolio management / decision-support software and services.</t>
        </is>
      </c>
      <c r="D23" s="68" t="inlineStr">
        <is>
          <t>Enterprise Agility</t>
        </is>
      </c>
      <c r="E23" s="68">
        <f>VLOOKUP(D23,CategorySummaryTable[],2,FALSE)</f>
        <v/>
      </c>
    </row>
    <row r="24" ht="80" customHeight="1" s="142">
      <c r="A24" s="117" t="inlineStr">
        <is>
          <t>GENPACT UK LTD</t>
        </is>
      </c>
      <c r="B24" s="118" t="n">
        <v>161782.08</v>
      </c>
      <c r="C24" s="119" t="inlineStr">
        <is>
          <t>Business process outsourcing, finance and accounting, analytics, and digital transformation services.</t>
        </is>
      </c>
      <c r="D24" s="68" t="inlineStr">
        <is>
          <t>Finance</t>
        </is>
      </c>
      <c r="E24" s="68">
        <f>VLOOKUP(D24,CategorySummaryTable[],2,FALSE)</f>
        <v/>
      </c>
    </row>
    <row r="25" ht="80" customHeight="1" s="142">
      <c r="A25" s="117" t="inlineStr">
        <is>
          <t>RYAN LLC</t>
        </is>
      </c>
      <c r="B25" s="118" t="n">
        <v>157106.25</v>
      </c>
      <c r="C25" s="119" t="inlineStr">
        <is>
          <t>Tax advisory, compliance, recovery, and tax technology/software services.</t>
        </is>
      </c>
      <c r="D25" s="68" t="inlineStr">
        <is>
          <t>Finance</t>
        </is>
      </c>
      <c r="E25" s="68">
        <f>VLOOKUP(D25,CategorySummaryTable[],2,FALSE)</f>
        <v/>
      </c>
    </row>
    <row r="26" ht="64" customHeight="1" s="142">
      <c r="A26" s="117" t="inlineStr">
        <is>
          <t>PERSISTENT SYSTEMS LTD</t>
        </is>
      </c>
      <c r="B26" s="118" t="n">
        <v>156668</v>
      </c>
      <c r="C26" s="119" t="inlineStr">
        <is>
          <t>Software engineering, digital transformation, cloud, data, and support services.</t>
        </is>
      </c>
      <c r="D26" s="68" t="inlineStr">
        <is>
          <t>IT Operations</t>
        </is>
      </c>
      <c r="E26" s="68">
        <f>VLOOKUP(D26,CategorySummaryTable[],2,FALSE)</f>
        <v/>
      </c>
    </row>
    <row r="27" ht="80" customHeight="1" s="142">
      <c r="A27" s="117" t="inlineStr">
        <is>
          <t>THOMSON REUTERS (TAX AND ACCOUNTING) INC</t>
        </is>
      </c>
      <c r="B27" s="118" t="n">
        <v>143431.36</v>
      </c>
      <c r="C27" s="119" t="inlineStr">
        <is>
          <t>Tax, accounting, legal research, and compliance software/data services.</t>
        </is>
      </c>
      <c r="D27" s="68" t="inlineStr">
        <is>
          <t>Finance</t>
        </is>
      </c>
      <c r="E27" s="68">
        <f>VLOOKUP(D27,CategorySummaryTable[],2,FALSE)</f>
        <v/>
      </c>
    </row>
    <row r="28" ht="80" customHeight="1" s="142">
      <c r="A28" s="117" t="inlineStr">
        <is>
          <t>VALGENESIS INC</t>
        </is>
      </c>
      <c r="B28" s="118" t="n">
        <v>130308</v>
      </c>
      <c r="C28" s="119" t="inlineStr">
        <is>
          <t>Validation lifecycle management and digital validation software for life sciences.</t>
        </is>
      </c>
      <c r="D28" s="68" t="inlineStr">
        <is>
          <t>Quality and Validation</t>
        </is>
      </c>
      <c r="E28" s="68">
        <f>VLOOKUP(D28,CategorySummaryTable[],2,FALSE)</f>
        <v/>
      </c>
    </row>
    <row r="29" ht="64" customHeight="1" s="142">
      <c r="A29" s="117" t="inlineStr">
        <is>
          <t>OT TECHNOLOGY INC</t>
        </is>
      </c>
      <c r="B29" s="118" t="n">
        <v>126985</v>
      </c>
      <c r="C29" s="119" t="inlineStr">
        <is>
          <t>Technology products or IT-related services; public details are limited.</t>
        </is>
      </c>
      <c r="D29" s="68" t="inlineStr">
        <is>
          <t>IT Operations</t>
        </is>
      </c>
      <c r="E29" s="68">
        <f>VLOOKUP(D29,CategorySummaryTable[],2,FALSE)</f>
        <v/>
      </c>
    </row>
    <row r="30" ht="80" customHeight="1" s="142">
      <c r="A30" s="117" t="inlineStr">
        <is>
          <t>COMPUTER INTEGRATION OF QUALITY ASSURANCE INC</t>
        </is>
      </c>
      <c r="B30" s="118" t="n">
        <v>122416.76</v>
      </c>
      <c r="C30" s="119" t="inlineStr">
        <is>
          <t>Quality assurance, validation, compliance, and related consulting/software services.</t>
        </is>
      </c>
      <c r="D30" s="68" t="inlineStr">
        <is>
          <t>Quality and Validation</t>
        </is>
      </c>
      <c r="E30" s="68">
        <f>VLOOKUP(D30,CategorySummaryTable[],2,FALSE)</f>
        <v/>
      </c>
    </row>
    <row r="31" ht="80" customHeight="1" s="142">
      <c r="A31" s="117" t="inlineStr">
        <is>
          <t>AIRSLATE INC</t>
        </is>
      </c>
      <c r="B31" s="118" t="n">
        <v>121200</v>
      </c>
      <c r="C31" s="119" t="inlineStr">
        <is>
          <t>Document workflow automation, e-signature, PDF, and no-code process software.</t>
        </is>
      </c>
      <c r="D31" s="68" t="inlineStr">
        <is>
          <t>Enterprise Agility</t>
        </is>
      </c>
      <c r="E31" s="68">
        <f>VLOOKUP(D31,CategorySummaryTable[],2,FALSE)</f>
        <v/>
      </c>
    </row>
    <row r="32" ht="96" customHeight="1" s="142">
      <c r="A32" s="117" t="inlineStr">
        <is>
          <t>IQVIA INC</t>
        </is>
      </c>
      <c r="B32" s="118" t="n">
        <v>120838.51</v>
      </c>
      <c r="C32" s="119" t="inlineStr">
        <is>
          <t>Clinical research, healthcare data, analytics, and life sciences technology services.</t>
        </is>
      </c>
      <c r="D32" s="68" t="inlineStr">
        <is>
          <t>Clinical Trials</t>
        </is>
      </c>
      <c r="E32" s="68">
        <f>VLOOKUP(D32,CategorySummaryTable[],2,FALSE)</f>
        <v/>
      </c>
    </row>
    <row r="33" ht="80" customHeight="1" s="142">
      <c r="A33" s="117" t="inlineStr">
        <is>
          <t>CVENT</t>
        </is>
      </c>
      <c r="B33" s="118" t="n">
        <v>116526.22</v>
      </c>
      <c r="C33" s="119" t="inlineStr">
        <is>
          <t>Event management, registration, meetings, and venue sourcing software/services.</t>
        </is>
      </c>
      <c r="D33" s="68" t="inlineStr">
        <is>
          <t>Marketing</t>
        </is>
      </c>
      <c r="E33" s="68">
        <f>VLOOKUP(D33,CategorySummaryTable[],2,FALSE)</f>
        <v/>
      </c>
    </row>
    <row r="34" ht="80" customHeight="1" s="142">
      <c r="A34" s="117" t="inlineStr">
        <is>
          <t>ACUITYMD INC</t>
        </is>
      </c>
      <c r="B34" s="118" t="n">
        <v>106666.68</v>
      </c>
      <c r="C34" s="119" t="inlineStr">
        <is>
          <t>Commercial intelligence and analytics software for medical device sales teams.</t>
        </is>
      </c>
      <c r="D34" s="68" t="inlineStr">
        <is>
          <t>Sales</t>
        </is>
      </c>
      <c r="E34" s="68">
        <f>VLOOKUP(D34,CategorySummaryTable[],2,FALSE)</f>
        <v/>
      </c>
    </row>
    <row r="35" ht="80" customHeight="1" s="142">
      <c r="A35" s="117" t="inlineStr">
        <is>
          <t>CONCUR TECHNOLOGIES INC</t>
        </is>
      </c>
      <c r="B35" s="118" t="n">
        <v>97759.41</v>
      </c>
      <c r="C35" s="119" t="inlineStr">
        <is>
          <t>Travel, expense, invoice, and spend management software/services.</t>
        </is>
      </c>
      <c r="D35" s="68" t="inlineStr">
        <is>
          <t>Finance</t>
        </is>
      </c>
      <c r="E35" s="68">
        <f>VLOOKUP(D35,CategorySummaryTable[],2,FALSE)</f>
        <v/>
      </c>
    </row>
    <row r="36" ht="80" customHeight="1" s="142">
      <c r="A36" s="117" t="inlineStr">
        <is>
          <t>US DATA MANAGEMENT LLC</t>
        </is>
      </c>
      <c r="B36" s="118" t="n">
        <v>97320</v>
      </c>
      <c r="C36" s="119" t="inlineStr">
        <is>
          <t>Data management, reporting, and IT support services; public details are limited.</t>
        </is>
      </c>
      <c r="D36" s="68" t="inlineStr">
        <is>
          <t>Data and Analytics</t>
        </is>
      </c>
      <c r="E36" s="68">
        <f>VLOOKUP(D36,CategorySummaryTable[],2,FALSE)</f>
        <v/>
      </c>
    </row>
    <row r="37" ht="80" customHeight="1" s="142">
      <c r="A37" s="117" t="inlineStr">
        <is>
          <t>TEGRA ANALYTICS LLC</t>
        </is>
      </c>
      <c r="B37" s="118" t="n">
        <v>95200</v>
      </c>
      <c r="C37" s="119" t="inlineStr">
        <is>
          <t>Data analytics, business intelligence, and planning/forecasting consulting services.</t>
        </is>
      </c>
      <c r="D37" s="68" t="inlineStr">
        <is>
          <t>Data and Analytics</t>
        </is>
      </c>
      <c r="E37" s="68">
        <f>VLOOKUP(D37,CategorySummaryTable[],2,FALSE)</f>
        <v/>
      </c>
    </row>
    <row r="38" ht="64" customHeight="1" s="142">
      <c r="A38" s="117" t="inlineStr">
        <is>
          <t>3 H TECHNOLOGY INSTITUTE LLC</t>
        </is>
      </c>
      <c r="B38" s="118" t="n">
        <v>90393</v>
      </c>
      <c r="C38" s="119" t="inlineStr">
        <is>
          <t>IT consulting, training, and technical services; public details are limited.</t>
        </is>
      </c>
      <c r="D38" s="68" t="inlineStr">
        <is>
          <t>IT Operations</t>
        </is>
      </c>
      <c r="E38" s="68">
        <f>VLOOKUP(D38,CategorySummaryTable[],2,FALSE)</f>
        <v/>
      </c>
    </row>
    <row r="39" ht="80" customHeight="1" s="142">
      <c r="A39" s="117" t="inlineStr">
        <is>
          <t>WORKIVA INC</t>
        </is>
      </c>
      <c r="B39" s="118" t="n">
        <v>84285.94</v>
      </c>
      <c r="C39" s="119" t="inlineStr">
        <is>
          <t>Connected reporting, compliance, audit, SEC, and ESG reporting software.</t>
        </is>
      </c>
      <c r="D39" s="68" t="inlineStr">
        <is>
          <t>Finance</t>
        </is>
      </c>
      <c r="E39" s="68">
        <f>VLOOKUP(D39,CategorySummaryTable[],2,FALSE)</f>
        <v/>
      </c>
    </row>
    <row r="40" ht="80" customHeight="1" s="142">
      <c r="A40" s="117" t="inlineStr">
        <is>
          <t>HUBSPOT INC</t>
        </is>
      </c>
      <c r="B40" s="118" t="n">
        <v>67092</v>
      </c>
      <c r="C40" s="119" t="inlineStr">
        <is>
          <t>CRM, marketing automation, sales, customer service, and CMS software.</t>
        </is>
      </c>
      <c r="D40" s="68" t="inlineStr">
        <is>
          <t>Sales</t>
        </is>
      </c>
      <c r="E40" s="68">
        <f>VLOOKUP(D40,CategorySummaryTable[],2,FALSE)</f>
        <v/>
      </c>
    </row>
    <row r="41" ht="64" customHeight="1" s="142">
      <c r="A41" s="117" t="inlineStr">
        <is>
          <t>TIKAMOBILE INC</t>
        </is>
      </c>
      <c r="B41" s="118" t="n">
        <v>65327</v>
      </c>
      <c r="C41" s="119" t="inlineStr">
        <is>
          <t>Mobile application or enterprise mobility software/services; public details are limited.</t>
        </is>
      </c>
      <c r="D41" s="68" t="inlineStr">
        <is>
          <t>IT Operations</t>
        </is>
      </c>
      <c r="E41" s="68">
        <f>VLOOKUP(D41,CategorySummaryTable[],2,FALSE)</f>
        <v/>
      </c>
    </row>
    <row r="42" ht="80" customHeight="1" s="142">
      <c r="A42" s="117" t="inlineStr">
        <is>
          <t>ANYWARE E COMMERCE LTD</t>
        </is>
      </c>
      <c r="B42" s="118" t="n">
        <v>63801.24047</v>
      </c>
      <c r="C42" s="119" t="inlineStr">
        <is>
          <t>E-commerce or digital commerce services; public details are limited.</t>
        </is>
      </c>
      <c r="D42" s="68" t="inlineStr">
        <is>
          <t>Marketing</t>
        </is>
      </c>
      <c r="E42" s="68">
        <f>VLOOKUP(D42,CategorySummaryTable[],2,FALSE)</f>
        <v/>
      </c>
    </row>
    <row r="43" ht="64" customHeight="1" s="142">
      <c r="A43" s="117" t="inlineStr">
        <is>
          <t>NTT Data Enterprise</t>
        </is>
      </c>
      <c r="B43" s="118" t="n">
        <v>60800</v>
      </c>
      <c r="C43" s="119" t="inlineStr">
        <is>
          <t>IT consulting, application services, cloud, infrastructure, and outsourcing services.</t>
        </is>
      </c>
      <c r="D43" s="68" t="inlineStr">
        <is>
          <t>IT Operations</t>
        </is>
      </c>
      <c r="E43" s="68">
        <f>VLOOKUP(D43,CategorySummaryTable[],2,FALSE)</f>
        <v/>
      </c>
    </row>
    <row r="44" ht="80" customHeight="1" s="142">
      <c r="A44" s="117" t="inlineStr">
        <is>
          <t>GREENLIGHT GURU</t>
        </is>
      </c>
      <c r="B44" s="118" t="n">
        <v>56114.71</v>
      </c>
      <c r="C44" s="119" t="inlineStr">
        <is>
          <t>Quality management and product development software for medical device companies.</t>
        </is>
      </c>
      <c r="D44" s="68" t="inlineStr">
        <is>
          <t>Quality and Validation</t>
        </is>
      </c>
      <c r="E44" s="68">
        <f>VLOOKUP(D44,CategorySummaryTable[],2,FALSE)</f>
        <v/>
      </c>
    </row>
    <row r="45" ht="64" customHeight="1" s="142">
      <c r="A45" s="117" t="inlineStr">
        <is>
          <t>SOURCE CALLE LLC</t>
        </is>
      </c>
      <c r="B45" s="118" t="n">
        <v>55697</v>
      </c>
      <c r="C45" s="119" t="inlineStr">
        <is>
          <t>Business or technology services; public details are limited.</t>
        </is>
      </c>
      <c r="D45" s="68" t="inlineStr">
        <is>
          <t>IT Operations</t>
        </is>
      </c>
      <c r="E45" s="68">
        <f>VLOOKUP(D45,CategorySummaryTable[],2,FALSE)</f>
        <v/>
      </c>
    </row>
    <row r="46" ht="64" customHeight="1" s="142">
      <c r="A46" s="117" t="inlineStr">
        <is>
          <t>CANON USA INC</t>
        </is>
      </c>
      <c r="B46" s="118" t="n">
        <v>54040.40999999999</v>
      </c>
      <c r="C46" s="119" t="inlineStr">
        <is>
          <t>Printers, imaging devices, document management, and managed print services.</t>
        </is>
      </c>
      <c r="D46" s="68" t="inlineStr">
        <is>
          <t>IT Operations</t>
        </is>
      </c>
      <c r="E46" s="68">
        <f>VLOOKUP(D46,CategorySummaryTable[],2,FALSE)</f>
        <v/>
      </c>
    </row>
    <row r="47" ht="80" customHeight="1" s="142">
      <c r="A47" s="117" t="inlineStr">
        <is>
          <t>AXONIFY INC</t>
        </is>
      </c>
      <c r="B47" s="118" t="n">
        <v>54000</v>
      </c>
      <c r="C47" s="119" t="inlineStr">
        <is>
          <t>Frontline training, microlearning, knowledge, and performance support software.</t>
        </is>
      </c>
      <c r="D47" s="68" t="inlineStr">
        <is>
          <t>Human Resources and Talent</t>
        </is>
      </c>
      <c r="E47" s="68">
        <f>VLOOKUP(D47,CategorySummaryTable[],2,FALSE)</f>
        <v/>
      </c>
    </row>
    <row r="48" ht="80" customHeight="1" s="142">
      <c r="A48" s="117" t="inlineStr">
        <is>
          <t>ADOBE SYSTEMS INC</t>
        </is>
      </c>
      <c r="B48" s="118" t="n">
        <v>48595.73</v>
      </c>
      <c r="C48" s="119" t="inlineStr">
        <is>
          <t>Creative design, PDF/document, marketing, and digital experience software.</t>
        </is>
      </c>
      <c r="D48" s="68" t="inlineStr">
        <is>
          <t>Marketing</t>
        </is>
      </c>
      <c r="E48" s="68">
        <f>VLOOKUP(D48,CategorySummaryTable[],2,FALSE)</f>
        <v/>
      </c>
    </row>
    <row r="49" ht="80" customHeight="1" s="142">
      <c r="A49" s="117" t="inlineStr">
        <is>
          <t>NAVEX GLOBAL INC</t>
        </is>
      </c>
      <c r="B49" s="118" t="n">
        <v>44141.46</v>
      </c>
      <c r="C49" s="119" t="inlineStr">
        <is>
          <t>Ethics, compliance, whistleblowing, policy, and risk management software/services.</t>
        </is>
      </c>
      <c r="D49" s="68" t="inlineStr">
        <is>
          <t>Compliance and Risk</t>
        </is>
      </c>
      <c r="E49" s="68">
        <f>VLOOKUP(D49,CategorySummaryTable[],2,FALSE)</f>
        <v/>
      </c>
    </row>
    <row r="50" ht="80" customHeight="1" s="142">
      <c r="A50" s="117" t="inlineStr">
        <is>
          <t>ALERTMEDIA</t>
        </is>
      </c>
      <c r="B50" s="118" t="n">
        <v>43441.66</v>
      </c>
      <c r="C50" s="119" t="inlineStr">
        <is>
          <t>Emergency communication, incident response, and threat intelligence software/services.</t>
        </is>
      </c>
      <c r="D50" s="68" t="inlineStr">
        <is>
          <t>Compliance and Risk</t>
        </is>
      </c>
      <c r="E50" s="68">
        <f>VLOOKUP(D50,CategorySummaryTable[],2,FALSE)</f>
        <v/>
      </c>
    </row>
    <row r="51" ht="64" customHeight="1" s="142">
      <c r="A51" s="117" t="inlineStr">
        <is>
          <t>COPADO INC</t>
        </is>
      </c>
      <c r="B51" s="118" t="n">
        <v>40000</v>
      </c>
      <c r="C51" s="119" t="inlineStr">
        <is>
          <t>Salesforce DevOps, release management, testing, backup, and deployment software.</t>
        </is>
      </c>
      <c r="D51" s="68" t="inlineStr">
        <is>
          <t>IT Operations</t>
        </is>
      </c>
      <c r="E51" s="68">
        <f>VLOOKUP(D51,CategorySummaryTable[],2,FALSE)</f>
        <v/>
      </c>
    </row>
    <row r="52" ht="64" customHeight="1" s="142">
      <c r="A52" s="117" t="inlineStr">
        <is>
          <t>PTC INC</t>
        </is>
      </c>
      <c r="B52" s="118" t="n">
        <v>30000</v>
      </c>
      <c r="C52" s="119" t="inlineStr">
        <is>
          <t>CAD, PLM, ALM, IoT, AR, and service lifecycle management software.</t>
        </is>
      </c>
      <c r="D52" s="68" t="inlineStr">
        <is>
          <t>Engineering</t>
        </is>
      </c>
      <c r="E52" s="68">
        <f>VLOOKUP(D52,CategorySummaryTable[],2,FALSE)</f>
        <v/>
      </c>
    </row>
    <row r="53" ht="80" customHeight="1" s="142">
      <c r="A53" s="117" t="inlineStr">
        <is>
          <t>ASSOCIATION FOR ADVANCING TISSUE AND BIOLOGICS</t>
        </is>
      </c>
      <c r="B53" s="118" t="n">
        <v>29146.05</v>
      </c>
      <c r="C53" s="119" t="inlineStr">
        <is>
          <t>Industry association offering education, events, standards, and networking services.</t>
        </is>
      </c>
      <c r="D53" s="68" t="inlineStr">
        <is>
          <t>Medical Affairs</t>
        </is>
      </c>
      <c r="E53" s="68">
        <f>VLOOKUP(D53,CategorySummaryTable[],2,FALSE)</f>
        <v/>
      </c>
    </row>
    <row r="54" ht="64" customHeight="1" s="142">
      <c r="A54" s="117" t="inlineStr">
        <is>
          <t>IRON MONTAIN</t>
        </is>
      </c>
      <c r="B54" s="118" t="n">
        <v>27628.3618395</v>
      </c>
      <c r="C54" s="119" t="inlineStr">
        <is>
          <t>Records storage, digital archiving, document management, and information governance services.</t>
        </is>
      </c>
      <c r="D54" s="68" t="inlineStr">
        <is>
          <t>IT Operations</t>
        </is>
      </c>
      <c r="E54" s="68">
        <f>VLOOKUP(D54,CategorySummaryTable[],2,FALSE)</f>
        <v/>
      </c>
    </row>
    <row r="55" ht="64" customHeight="1" s="142">
      <c r="A55" s="117" t="inlineStr">
        <is>
          <t>OFFICESPACE SOFTWARE</t>
        </is>
      </c>
      <c r="B55" s="118" t="n">
        <v>23173.58</v>
      </c>
      <c r="C55" s="119" t="inlineStr">
        <is>
          <t>Workplace management, desk/room booking, and space planning software.</t>
        </is>
      </c>
      <c r="D55" s="68" t="inlineStr">
        <is>
          <t>IT Operations</t>
        </is>
      </c>
      <c r="E55" s="68">
        <f>VLOOKUP(D55,CategorySummaryTable[],2,FALSE)</f>
        <v/>
      </c>
    </row>
    <row r="56" ht="80" customHeight="1" s="142">
      <c r="A56" s="117" t="inlineStr">
        <is>
          <t>DEFMACRO SOFTWARE PRIVATE LTD</t>
        </is>
      </c>
      <c r="B56" s="118" t="n">
        <v>21693.5334</v>
      </c>
      <c r="C56" s="119" t="inlineStr">
        <is>
          <t>Tax, e-invoicing, compliance, and finance automation software/services.</t>
        </is>
      </c>
      <c r="D56" s="68" t="inlineStr">
        <is>
          <t>Finance</t>
        </is>
      </c>
      <c r="E56" s="68">
        <f>VLOOKUP(D56,CategorySummaryTable[],2,FALSE)</f>
        <v/>
      </c>
    </row>
    <row r="57" ht="80" customHeight="1" s="142">
      <c r="A57" s="117" t="inlineStr">
        <is>
          <t>CNC SOFTWARE LLC MASTERCAM</t>
        </is>
      </c>
      <c r="B57" s="118" t="n">
        <v>18000.9</v>
      </c>
      <c r="C57" s="119" t="inlineStr">
        <is>
          <t>CAD/CAM software for CNC programming, machining, and manufacturing.</t>
        </is>
      </c>
      <c r="D57" s="68" t="inlineStr">
        <is>
          <t>Manufacturing</t>
        </is>
      </c>
      <c r="E57" s="68">
        <f>VLOOKUP(D57,CategorySummaryTable[],2,FALSE)</f>
        <v/>
      </c>
    </row>
    <row r="58" ht="80" customHeight="1" s="142">
      <c r="A58" s="117" t="inlineStr">
        <is>
          <t>ADP EUROPE</t>
        </is>
      </c>
      <c r="B58" s="118" t="n">
        <v>16607.6884</v>
      </c>
      <c r="C58" s="119" t="inlineStr">
        <is>
          <t>Payroll, HR, and HCM services in Europe.</t>
        </is>
      </c>
      <c r="D58" s="68" t="inlineStr">
        <is>
          <t>Human Resources and Talent</t>
        </is>
      </c>
      <c r="E58" s="68">
        <f>VLOOKUP(D58,CategorySummaryTable[],2,FALSE)</f>
        <v/>
      </c>
    </row>
    <row r="59" ht="96" customHeight="1" s="142">
      <c r="A59" s="117" t="inlineStr">
        <is>
          <t>GHX EUROPE GMBH</t>
        </is>
      </c>
      <c r="B59" s="118" t="n">
        <v>15694.80864</v>
      </c>
      <c r="C59" s="119" t="inlineStr">
        <is>
          <t>Healthcare supply chain and procurement automation services in Europe.</t>
        </is>
      </c>
      <c r="D59" s="68" t="inlineStr">
        <is>
          <t>Supply Chain and Distribution</t>
        </is>
      </c>
      <c r="E59" s="68">
        <f>VLOOKUP(D59,CategorySummaryTable[],2,FALSE)</f>
        <v/>
      </c>
    </row>
    <row r="60" ht="80" customHeight="1" s="142">
      <c r="A60" s="117" t="inlineStr">
        <is>
          <t>MEDPRO SYSTEMS LLC</t>
        </is>
      </c>
      <c r="B60" s="118" t="n">
        <v>15500</v>
      </c>
      <c r="C60" s="119" t="inlineStr">
        <is>
          <t>Healthcare transparency, HCP/HCO data, and compliance software/services for life sciences.</t>
        </is>
      </c>
      <c r="D60" s="68" t="inlineStr">
        <is>
          <t>Compliance and Risk</t>
        </is>
      </c>
      <c r="E60" s="68">
        <f>VLOOKUP(D60,CategorySummaryTable[],2,FALSE)</f>
        <v/>
      </c>
    </row>
    <row r="61" ht="64" customHeight="1" s="142">
      <c r="A61" s="117" t="inlineStr">
        <is>
          <t>FINIT SOLUTIONS</t>
        </is>
      </c>
      <c r="B61" s="118" t="n">
        <v>15000</v>
      </c>
      <c r="C61" s="119" t="inlineStr">
        <is>
          <t>Business software and IT consulting/integration services; public details are limited.</t>
        </is>
      </c>
      <c r="D61" s="68" t="inlineStr">
        <is>
          <t>IT Operations</t>
        </is>
      </c>
      <c r="E61" s="68">
        <f>VLOOKUP(D61,CategorySummaryTable[],2,FALSE)</f>
        <v/>
      </c>
    </row>
    <row r="62" ht="64" customHeight="1" s="142">
      <c r="A62" s="117" t="inlineStr">
        <is>
          <t>SIEMENS INDUSTRY SOFTWARE INC</t>
        </is>
      </c>
      <c r="B62" s="118" t="n">
        <v>13427.66</v>
      </c>
      <c r="C62" s="119" t="inlineStr">
        <is>
          <t>PLM, CAD/CAM, simulation, and manufacturing operations software.</t>
        </is>
      </c>
      <c r="D62" s="68" t="inlineStr">
        <is>
          <t>Engineering</t>
        </is>
      </c>
      <c r="E62" s="68">
        <f>VLOOKUP(D62,CategorySummaryTable[],2,FALSE)</f>
        <v/>
      </c>
    </row>
    <row r="63" ht="96" customHeight="1" s="142">
      <c r="A63" s="117" t="inlineStr">
        <is>
          <t>TESISQUARE S P A</t>
        </is>
      </c>
      <c r="B63" s="118" t="n">
        <v>11271.978656</v>
      </c>
      <c r="C63" s="119" t="inlineStr">
        <is>
          <t>Supply chain execution, supplier collaboration, logistics, and EDI software/services.</t>
        </is>
      </c>
      <c r="D63" s="68" t="inlineStr">
        <is>
          <t>Supply Chain and Distribution</t>
        </is>
      </c>
      <c r="E63" s="68">
        <f>VLOOKUP(D63,CategorySummaryTable[],2,FALSE)</f>
        <v/>
      </c>
    </row>
    <row r="64" ht="64" customHeight="1" s="142">
      <c r="A64" s="117" t="inlineStr">
        <is>
          <t>HONEYCOMB SOLUTIONS</t>
        </is>
      </c>
      <c r="B64" s="118" t="n">
        <v>10799.811</v>
      </c>
      <c r="C64" s="119" t="inlineStr">
        <is>
          <t>Technology or consulting services; public details are limited.</t>
        </is>
      </c>
      <c r="D64" s="68" t="inlineStr">
        <is>
          <t>IT Operations</t>
        </is>
      </c>
      <c r="E64" s="68">
        <f>VLOOKUP(D64,CategorySummaryTable[],2,FALSE)</f>
        <v/>
      </c>
    </row>
    <row r="65" ht="96" customHeight="1" s="142">
      <c r="A65" s="117" t="inlineStr">
        <is>
          <t>VISIONICE GMBH</t>
        </is>
      </c>
      <c r="B65" s="118" t="n">
        <v>10696.133277</v>
      </c>
      <c r="C65" s="119" t="inlineStr">
        <is>
          <t>Regulatory publishing, submission, or life sciences information-management software/services.</t>
        </is>
      </c>
      <c r="D65" s="68" t="inlineStr">
        <is>
          <t>Regulatory Affairs</t>
        </is>
      </c>
      <c r="E65" s="68">
        <f>VLOOKUP(D65,CategorySummaryTable[],2,FALSE)</f>
        <v/>
      </c>
    </row>
    <row r="66" ht="64" customHeight="1" s="142">
      <c r="A66" s="117" t="inlineStr">
        <is>
          <t>OPEN TEXT INC</t>
        </is>
      </c>
      <c r="B66" s="118" t="n">
        <v>10643.75</v>
      </c>
      <c r="C66" s="119" t="inlineStr">
        <is>
          <t>Enterprise content management, document management, integration, and cybersecurity software/services.</t>
        </is>
      </c>
      <c r="D66" s="68" t="inlineStr">
        <is>
          <t>IT Operations</t>
        </is>
      </c>
      <c r="E66" s="68">
        <f>VLOOKUP(D66,CategorySummaryTable[],2,FALSE)</f>
        <v/>
      </c>
    </row>
    <row r="67" ht="80" customHeight="1" s="142">
      <c r="A67" s="117" t="inlineStr">
        <is>
          <t>上海夏焱电子科技有限公司</t>
        </is>
      </c>
      <c r="B67" s="118" t="n">
        <v>10495.05054</v>
      </c>
      <c r="C67" s="119" t="inlineStr">
        <is>
          <t>Electronics technology products and related technical services.</t>
        </is>
      </c>
      <c r="D67" s="68" t="inlineStr">
        <is>
          <t>Clinical Manufacturing Process</t>
        </is>
      </c>
      <c r="E67" s="68">
        <f>VLOOKUP(D67,CategorySummaryTable[],2,FALSE)</f>
        <v/>
      </c>
    </row>
    <row r="68" ht="80" customHeight="1" s="142">
      <c r="A68" s="117" t="inlineStr">
        <is>
          <t>HOHENFORST MACHINERY CO</t>
        </is>
      </c>
      <c r="B68" s="118" t="n">
        <v>9500</v>
      </c>
      <c r="C68" s="119" t="inlineStr">
        <is>
          <t>Industrial or machinery products and related service/support.</t>
        </is>
      </c>
      <c r="D68" s="68" t="inlineStr">
        <is>
          <t>Clinical Manufacturing Process</t>
        </is>
      </c>
      <c r="E68" s="68">
        <f>VLOOKUP(D68,CategorySummaryTable[],2,FALSE)</f>
        <v/>
      </c>
    </row>
    <row r="69" ht="64" customHeight="1" s="142">
      <c r="A69" s="117" t="inlineStr">
        <is>
          <t>HAWK RIDGE SYSTEMS LLC</t>
        </is>
      </c>
      <c r="B69" s="118" t="n">
        <v>9181.780000000001</v>
      </c>
      <c r="C69" s="119" t="inlineStr">
        <is>
          <t>CAD/PLM software reseller plus training, implementation, and engineering support services.</t>
        </is>
      </c>
      <c r="D69" s="68" t="inlineStr">
        <is>
          <t>Engineering</t>
        </is>
      </c>
      <c r="E69" s="68">
        <f>VLOOKUP(D69,CategorySummaryTable[],2,FALSE)</f>
        <v/>
      </c>
    </row>
    <row r="70" ht="80" customHeight="1" s="142">
      <c r="A70" s="117" t="inlineStr">
        <is>
          <t>MINITAB</t>
        </is>
      </c>
      <c r="B70" s="118" t="n">
        <v>8652.62736</v>
      </c>
      <c r="C70" s="119" t="inlineStr">
        <is>
          <t>Statistical analysis, quality improvement, process capability, and analytics software.</t>
        </is>
      </c>
      <c r="D70" s="68" t="inlineStr">
        <is>
          <t>Data and Analytics</t>
        </is>
      </c>
      <c r="E70" s="68">
        <f>VLOOKUP(D70,CategorySummaryTable[],2,FALSE)</f>
        <v/>
      </c>
    </row>
    <row r="71" ht="64" customHeight="1" s="142">
      <c r="A71" s="117" t="inlineStr">
        <is>
          <t>THT LTD</t>
        </is>
      </c>
      <c r="B71" s="118" t="n">
        <v>8460</v>
      </c>
      <c r="C71" s="119" t="inlineStr">
        <is>
          <t>Technical or IT-related products/services; public details are limited.</t>
        </is>
      </c>
      <c r="D71" s="68" t="inlineStr">
        <is>
          <t>IT Operations</t>
        </is>
      </c>
      <c r="E71" s="68">
        <f>VLOOKUP(D71,CategorySummaryTable[],2,FALSE)</f>
        <v/>
      </c>
    </row>
    <row r="72" ht="64" customHeight="1" s="142">
      <c r="A72" s="117" t="inlineStr">
        <is>
          <t>富士ﾌｲﾙﾑﾋﾞｼﾞﾈｽｲﾉﾍﾞ-ｼｮﾝ株式会社</t>
        </is>
      </c>
      <c r="B72" s="118" t="n">
        <v>8058.81984</v>
      </c>
      <c r="C72" s="119" t="inlineStr">
        <is>
          <t>Printers, multifunction devices, document workflow, and managed print services.</t>
        </is>
      </c>
      <c r="D72" s="68" t="inlineStr">
        <is>
          <t>IT Operations</t>
        </is>
      </c>
      <c r="E72" s="68">
        <f>VLOOKUP(D72,CategorySummaryTable[],2,FALSE)</f>
        <v/>
      </c>
    </row>
    <row r="73" ht="80" customHeight="1" s="142">
      <c r="A73" s="117" t="inlineStr">
        <is>
          <t>CPA GLOBAL FIP LLC</t>
        </is>
      </c>
      <c r="B73" s="118" t="n">
        <v>7887.34</v>
      </c>
      <c r="C73" s="119" t="inlineStr">
        <is>
          <t>Intellectual property management software and patent/legal support services.</t>
        </is>
      </c>
      <c r="D73" s="68" t="inlineStr">
        <is>
          <t>Compliance and Risk</t>
        </is>
      </c>
      <c r="E73" s="68">
        <f>VLOOKUP(D73,CategorySummaryTable[],2,FALSE)</f>
        <v/>
      </c>
    </row>
    <row r="74" ht="64" customHeight="1" s="142">
      <c r="A74" s="117" t="inlineStr">
        <is>
          <t>NISHA PRO SOFTWARE CONSULTANTS LTD</t>
        </is>
      </c>
      <c r="B74" s="118" t="n">
        <v>7639.619872499999</v>
      </c>
      <c r="C74" s="119" t="inlineStr">
        <is>
          <t>IT products, professional services, configuration, AV, and surveillance solutions.</t>
        </is>
      </c>
      <c r="D74" s="68" t="inlineStr">
        <is>
          <t>IT Operations</t>
        </is>
      </c>
      <c r="E74" s="68">
        <f>VLOOKUP(D74,CategorySummaryTable[],2,FALSE)</f>
        <v/>
      </c>
    </row>
    <row r="75" ht="80" customHeight="1" s="142">
      <c r="A75" s="117" t="inlineStr">
        <is>
          <t>SMARTSHEET INC</t>
        </is>
      </c>
      <c r="B75" s="118" t="n">
        <v>7524</v>
      </c>
      <c r="C75" s="119" t="inlineStr">
        <is>
          <t>Work management, collaboration, automation, and project tracking software.</t>
        </is>
      </c>
      <c r="D75" s="68" t="inlineStr">
        <is>
          <t>Enterprise Agility</t>
        </is>
      </c>
      <c r="E75" s="68">
        <f>VLOOKUP(D75,CategorySummaryTable[],2,FALSE)</f>
        <v/>
      </c>
    </row>
    <row r="76" ht="64" customHeight="1" s="142">
      <c r="A76" s="117" t="inlineStr">
        <is>
          <t>CANON BUSINESS EQUIPMENT (IRELAND) LTD.</t>
        </is>
      </c>
      <c r="B76" s="118" t="n">
        <v>6318.230352</v>
      </c>
      <c r="C76" s="119" t="inlineStr">
        <is>
          <t>Office imaging, printers, copiers, and managed print services.</t>
        </is>
      </c>
      <c r="D76" s="68" t="inlineStr">
        <is>
          <t>IT Operations</t>
        </is>
      </c>
      <c r="E76" s="68">
        <f>VLOOKUP(D76,CategorySummaryTable[],2,FALSE)</f>
        <v/>
      </c>
    </row>
    <row r="77" ht="80" customHeight="1" s="142">
      <c r="A77" s="117" t="inlineStr">
        <is>
          <t>DUN AND BRADSTREET</t>
        </is>
      </c>
      <c r="B77" s="118" t="n">
        <v>6168.75</v>
      </c>
      <c r="C77" s="119" t="inlineStr">
        <is>
          <t>Business credit data, supplier risk, company intelligence, and analytics services.</t>
        </is>
      </c>
      <c r="D77" s="68" t="inlineStr">
        <is>
          <t>Data and Analytics</t>
        </is>
      </c>
      <c r="E77" s="68">
        <f>VLOOKUP(D77,CategorySummaryTable[],2,FALSE)</f>
        <v/>
      </c>
    </row>
    <row r="78" ht="80" customHeight="1" s="142">
      <c r="A78" s="117" t="inlineStr">
        <is>
          <t>ADP EMPLOYER SERVICES GMBH BREMEN</t>
        </is>
      </c>
      <c r="B78" s="118" t="n">
        <v>5598.123680000001</v>
      </c>
      <c r="C78" s="119" t="inlineStr">
        <is>
          <t>Payroll, HR administration, and employer services.</t>
        </is>
      </c>
      <c r="D78" s="68" t="inlineStr">
        <is>
          <t>Human Resources and Talent</t>
        </is>
      </c>
      <c r="E78" s="68">
        <f>VLOOKUP(D78,CategorySummaryTable[],2,FALSE)</f>
        <v/>
      </c>
    </row>
    <row r="79" ht="64" customHeight="1" s="142">
      <c r="A79" s="117" t="inlineStr">
        <is>
          <t>PARALLEL SYSTEMS LIMITED</t>
        </is>
      </c>
      <c r="B79" s="118" t="n">
        <v>4442.978</v>
      </c>
      <c r="C79" s="119" t="inlineStr">
        <is>
          <t>IT systems integration and support services; public details are limited.</t>
        </is>
      </c>
      <c r="D79" s="68" t="inlineStr">
        <is>
          <t>IT Operations</t>
        </is>
      </c>
      <c r="E79" s="68">
        <f>VLOOKUP(D79,CategorySummaryTable[],2,FALSE)</f>
        <v/>
      </c>
    </row>
    <row r="80" ht="80" customHeight="1" s="142">
      <c r="A80" s="117" t="inlineStr">
        <is>
          <t>CANON FINANCIAL SERVICES INC</t>
        </is>
      </c>
      <c r="B80" s="118" t="n">
        <v>4226.74</v>
      </c>
      <c r="C80" s="119" t="inlineStr">
        <is>
          <t>Equipment financing and leasing services for office and technology equipment.</t>
        </is>
      </c>
      <c r="D80" s="68" t="inlineStr">
        <is>
          <t>Finance</t>
        </is>
      </c>
      <c r="E80" s="68">
        <f>VLOOKUP(D80,CategorySummaryTable[],2,FALSE)</f>
        <v/>
      </c>
    </row>
    <row r="81" ht="96" customHeight="1" s="142">
      <c r="A81" s="117" t="inlineStr">
        <is>
          <t>TRADE TECHNOLOGIES INC</t>
        </is>
      </c>
      <c r="B81" s="118" t="n">
        <v>4000</v>
      </c>
      <c r="C81" s="119" t="inlineStr">
        <is>
          <t>Trade finance digitization, letters of credit, bank guarantee, and document-processing services.</t>
        </is>
      </c>
      <c r="D81" s="68" t="inlineStr">
        <is>
          <t>Supply Chain and Distribution</t>
        </is>
      </c>
      <c r="E81" s="68">
        <f>VLOOKUP(D81,CategorySummaryTable[],2,FALSE)</f>
        <v/>
      </c>
    </row>
    <row r="82" ht="64" customHeight="1" s="142">
      <c r="A82" s="117" t="inlineStr">
        <is>
          <t>CANON DEUTSCHLAND GMBH</t>
        </is>
      </c>
      <c r="B82" s="118" t="n">
        <v>3783.555908</v>
      </c>
      <c r="C82" s="119" t="inlineStr">
        <is>
          <t>Imaging, printing, document management, and office technology services.</t>
        </is>
      </c>
      <c r="D82" s="68" t="inlineStr">
        <is>
          <t>IT Operations</t>
        </is>
      </c>
      <c r="E82" s="68">
        <f>VLOOKUP(D82,CategorySummaryTable[],2,FALSE)</f>
        <v/>
      </c>
    </row>
    <row r="83" ht="80" customHeight="1" s="142">
      <c r="A83" s="117" t="inlineStr">
        <is>
          <t>EUROPHARMATIC SAS</t>
        </is>
      </c>
      <c r="B83" s="118" t="n">
        <v>3703.895272</v>
      </c>
      <c r="C83" s="119" t="inlineStr">
        <is>
          <t>Pharmaceutical or healthcare-related products/services; public details are limited.</t>
        </is>
      </c>
      <c r="D83" s="68" t="inlineStr">
        <is>
          <t>Medical Affairs</t>
        </is>
      </c>
      <c r="E83" s="68">
        <f>VLOOKUP(D83,CategorySummaryTable[],2,FALSE)</f>
        <v/>
      </c>
    </row>
    <row r="84" ht="80" customHeight="1" s="142">
      <c r="A84" s="117" t="inlineStr">
        <is>
          <t>RESEARCH APPLICATION AND FINANCIAL TRACKING INC</t>
        </is>
      </c>
      <c r="B84" s="118" t="n">
        <v>3495.28</v>
      </c>
      <c r="C84" s="119" t="inlineStr">
        <is>
          <t>Research administration and grant/financial tracking software/services.</t>
        </is>
      </c>
      <c r="D84" s="68" t="inlineStr">
        <is>
          <t>Finance</t>
        </is>
      </c>
      <c r="E84" s="68">
        <f>VLOOKUP(D84,CategorySummaryTable[],2,FALSE)</f>
        <v/>
      </c>
    </row>
    <row r="85" ht="64" customHeight="1" s="142">
      <c r="A85" s="117" t="inlineStr">
        <is>
          <t>上海联诺信息技术有限公司</t>
        </is>
      </c>
      <c r="B85" s="118" t="n">
        <v>3491.804518599999</v>
      </c>
      <c r="C85" s="119" t="inlineStr">
        <is>
          <t>Information technology services and software; public details are limited.</t>
        </is>
      </c>
      <c r="D85" s="68" t="inlineStr">
        <is>
          <t>IT Operations</t>
        </is>
      </c>
      <c r="E85" s="68">
        <f>VLOOKUP(D85,CategorySummaryTable[],2,FALSE)</f>
        <v/>
      </c>
    </row>
    <row r="86" ht="64" customHeight="1" s="142">
      <c r="A86" s="117" t="inlineStr">
        <is>
          <t>IAR SYSTEMS SOFTWARE INC</t>
        </is>
      </c>
      <c r="B86" s="118" t="n">
        <v>3376</v>
      </c>
      <c r="C86" s="119" t="inlineStr">
        <is>
          <t>Embedded software development tools, compilers, debuggers, and security solutions.</t>
        </is>
      </c>
      <c r="D86" s="68" t="inlineStr">
        <is>
          <t>IT Operations</t>
        </is>
      </c>
      <c r="E86" s="68">
        <f>VLOOKUP(D86,CategorySummaryTable[],2,FALSE)</f>
        <v/>
      </c>
    </row>
    <row r="87" ht="64" customHeight="1" s="142">
      <c r="A87" s="117" t="inlineStr">
        <is>
          <t>ATMOSPHERE APPS INC</t>
        </is>
      </c>
      <c r="B87" s="118" t="n">
        <v>3109.2</v>
      </c>
      <c r="C87" s="119" t="inlineStr">
        <is>
          <t>Microsoft 365, SharePoint, Teams, Power Platform, and custom app consulting/services.</t>
        </is>
      </c>
      <c r="D87" s="68" t="inlineStr">
        <is>
          <t>IT Operations</t>
        </is>
      </c>
      <c r="E87" s="68">
        <f>VLOOKUP(D87,CategorySummaryTable[],2,FALSE)</f>
        <v/>
      </c>
    </row>
    <row r="88" ht="64" customHeight="1" s="142">
      <c r="A88" s="117" t="inlineStr">
        <is>
          <t>AUTODESK INC</t>
        </is>
      </c>
      <c r="B88" s="118" t="n">
        <v>2931.989999999999</v>
      </c>
      <c r="C88" s="119" t="inlineStr">
        <is>
          <t>CAD, BIM, 3D design, engineering, and construction software.</t>
        </is>
      </c>
      <c r="D88" s="68" t="inlineStr">
        <is>
          <t>Engineering</t>
        </is>
      </c>
      <c r="E88" s="68">
        <f>VLOOKUP(D88,CategorySummaryTable[],2,FALSE)</f>
        <v/>
      </c>
    </row>
    <row r="89" ht="64" customHeight="1" s="142">
      <c r="A89" s="117" t="inlineStr">
        <is>
          <t>CSC CONSULTING INC</t>
        </is>
      </c>
      <c r="B89" s="118" t="n">
        <v>2737.35</v>
      </c>
      <c r="C89" s="119" t="inlineStr">
        <is>
          <t>Consulting and business/IT services; public details are limited.</t>
        </is>
      </c>
      <c r="D89" s="68" t="inlineStr">
        <is>
          <t>IT Operations</t>
        </is>
      </c>
      <c r="E89" s="68">
        <f>VLOOKUP(D89,CategorySummaryTable[],2,FALSE)</f>
        <v/>
      </c>
    </row>
    <row r="90" ht="80" customHeight="1" s="142">
      <c r="A90" s="117" t="inlineStr">
        <is>
          <t>GRAND VIEW RESEARCH INC</t>
        </is>
      </c>
      <c r="B90" s="118" t="n">
        <v>2000</v>
      </c>
      <c r="C90" s="119" t="inlineStr">
        <is>
          <t>Market research reports, industry analysis, and consulting services.</t>
        </is>
      </c>
      <c r="D90" s="68" t="inlineStr">
        <is>
          <t>Data and Analytics</t>
        </is>
      </c>
      <c r="E90" s="68">
        <f>VLOOKUP(D90,CategorySummaryTable[],2,FALSE)</f>
        <v/>
      </c>
    </row>
    <row r="91" ht="80" customHeight="1" s="142">
      <c r="A91" s="117" t="inlineStr">
        <is>
          <t>DRAGER SCHWEIZ AG</t>
        </is>
      </c>
      <c r="B91" s="118" t="n">
        <v>987.7379129999998</v>
      </c>
      <c r="C91" s="119" t="inlineStr">
        <is>
          <t>Medical and safety equipment plus maintenance, service, and training.</t>
        </is>
      </c>
      <c r="D91" s="68" t="inlineStr">
        <is>
          <t>Clinical Manufacturing Process</t>
        </is>
      </c>
      <c r="E91" s="68">
        <f>VLOOKUP(D91,CategorySummaryTable[],2,FALSE)</f>
        <v/>
      </c>
    </row>
    <row r="92" ht="80" customHeight="1" s="142">
      <c r="A92" s="117" t="inlineStr">
        <is>
          <t>上海爱信诺航天信息有限公司</t>
        </is>
      </c>
      <c r="B92" s="118" t="n">
        <v>687.8300236</v>
      </c>
      <c r="C92" s="119" t="inlineStr">
        <is>
          <t>Tax invoicing, enterprise software, and IT services (Aisino/Aerospace Information).</t>
        </is>
      </c>
      <c r="D92" s="68" t="inlineStr">
        <is>
          <t>Finance</t>
        </is>
      </c>
      <c r="E92" s="68">
        <f>VLOOKUP(D92,CategorySummaryTable[],2,FALSE)</f>
        <v/>
      </c>
    </row>
    <row r="93" ht="80" customHeight="1" s="142">
      <c r="A93" s="117" t="inlineStr">
        <is>
          <t>EBSCO INFORMATION SERVICES</t>
        </is>
      </c>
      <c r="B93" s="118" t="n">
        <v>681.63</v>
      </c>
      <c r="C93" s="119" t="inlineStr">
        <is>
          <t>Research databases, journals, discovery services, and library information services.</t>
        </is>
      </c>
      <c r="D93" s="68" t="inlineStr">
        <is>
          <t>Data and Analytics</t>
        </is>
      </c>
      <c r="E93" s="68">
        <f>VLOOKUP(D93,CategorySummaryTable[],2,FALSE)</f>
        <v/>
      </c>
    </row>
    <row r="94" ht="64" customHeight="1" s="142">
      <c r="A94" s="117" t="inlineStr">
        <is>
          <t>BACILE SALVATORE</t>
        </is>
      </c>
      <c r="B94" s="118" t="n">
        <v>400</v>
      </c>
      <c r="C94" s="119" t="inlineStr">
        <is>
          <t>Individual or small-business consulting/vendor relationship; public details are not readily verifiable.</t>
        </is>
      </c>
      <c r="D94" s="68" t="inlineStr">
        <is>
          <t>IT Operations</t>
        </is>
      </c>
      <c r="E94" s="68">
        <f>VLOOKUP(D94,CategorySummaryTable[],2,FALSE)</f>
        <v/>
      </c>
    </row>
    <row r="95" ht="64" customHeight="1" s="142">
      <c r="A95" s="117" t="inlineStr">
        <is>
          <t>M K INFOSOLUTIONS</t>
        </is>
      </c>
      <c r="B95" s="118" t="n">
        <v>80.104</v>
      </c>
      <c r="C95" s="119" t="inlineStr">
        <is>
          <t>IT or software support/consulting services; public details are limited.</t>
        </is>
      </c>
      <c r="D95" s="68" t="inlineStr">
        <is>
          <t>IT Operations</t>
        </is>
      </c>
      <c r="E95" s="68">
        <f>VLOOKUP(D95,CategorySummaryTable[],2,FALSE)</f>
        <v/>
      </c>
    </row>
    <row r="96" ht="64" customHeight="1" s="142">
      <c r="A96" s="117" t="inlineStr">
        <is>
          <t>BUSINESS LOGICS GMBH</t>
        </is>
      </c>
      <c r="B96" s="118" t="n">
        <v>0</v>
      </c>
      <c r="C96" s="119" t="inlineStr">
        <is>
          <t>Business software or IT consulting services; public details are limited.</t>
        </is>
      </c>
      <c r="D96" s="68" t="inlineStr">
        <is>
          <t>IT Operations</t>
        </is>
      </c>
      <c r="E96" s="68">
        <f>VLOOKUP(D96,CategorySummaryTable[],2,FALSE)</f>
        <v/>
      </c>
    </row>
    <row r="97" ht="64" customHeight="1" s="142">
      <c r="A97" s="117" t="inlineStr">
        <is>
          <t>CANON FRANCE SAS</t>
        </is>
      </c>
      <c r="B97" s="118" t="n">
        <v>-993.656832</v>
      </c>
      <c r="C97" s="119" t="inlineStr">
        <is>
          <t>Imaging, printing, document management, and office technology services.</t>
        </is>
      </c>
      <c r="D97" s="68" t="inlineStr">
        <is>
          <t>IT Operations</t>
        </is>
      </c>
      <c r="E97" s="68">
        <f>VLOOKUP(D97,CategorySummaryTable[],2,FALSE)</f>
        <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22"/>
  <sheetViews>
    <sheetView topLeftCell="A16" zoomScale="85" zoomScaleNormal="85" workbookViewId="0">
      <selection activeCell="B8" sqref="B8"/>
    </sheetView>
  </sheetViews>
  <sheetFormatPr baseColWidth="8" defaultColWidth="8.58203125" defaultRowHeight="14.5"/>
  <cols>
    <col width="30.83203125" customWidth="1" style="67" min="1" max="1"/>
    <col width="107.25" customWidth="1" style="67" min="2" max="2"/>
    <col width="8.58203125" customWidth="1" style="67" min="3" max="3"/>
    <col width="8.58203125" customWidth="1" style="67" min="4" max="16384"/>
  </cols>
  <sheetData>
    <row r="1">
      <c r="A1" s="66" t="inlineStr">
        <is>
          <t>Portfolio Category</t>
        </is>
      </c>
      <c r="B1" s="66" t="inlineStr">
        <is>
          <t>Portfolio Category Description</t>
        </is>
      </c>
    </row>
    <row r="2" ht="58" customHeight="1" s="142">
      <c r="A2" s="133" t="inlineStr">
        <is>
          <t>Clinical Manufacturing Process</t>
        </is>
      </c>
      <c r="B2" s="133"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row>
    <row r="3" ht="72.65000000000001" customHeight="1" s="142">
      <c r="A3" s="133" t="inlineStr">
        <is>
          <t>Clinical Trials</t>
        </is>
      </c>
      <c r="B3" s="133" t="inlineStr">
        <is>
          <t>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t>
        </is>
      </c>
    </row>
    <row r="4" ht="58" customHeight="1" s="142">
      <c r="A4" s="133" t="inlineStr">
        <is>
          <t>Compliance and Risk</t>
        </is>
      </c>
      <c r="B4" s="133"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row>
    <row r="5" ht="58" customHeight="1" s="142">
      <c r="A5" s="133" t="inlineStr">
        <is>
          <t>Cyber Security</t>
        </is>
      </c>
      <c r="B5" s="133"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row>
    <row r="6" ht="58" customHeight="1" s="142">
      <c r="A6" s="133" t="inlineStr">
        <is>
          <t>Data and Analytics</t>
        </is>
      </c>
      <c r="B6" s="133"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row>
    <row r="7" ht="58" customHeight="1" s="142">
      <c r="A7" s="133" t="inlineStr">
        <is>
          <t>Discovery, Development and PreClinical</t>
        </is>
      </c>
      <c r="B7" s="133" t="inlineStr">
        <is>
          <t>Discovery, Development and PreClinical covers vendors and offerings primarily focused on Discovery, Drug, Analysis, and Computational. Common associated descriptions include: AI-driven antibody selection and reagent platform; Chemical informatics software for drug discovery and research; Computational chemistry software for drug discovery and materials research; Computational immunology and vaccine design services; Drug discovery software for compound design and data analysis; and 14 additional related offerings.</t>
        </is>
      </c>
    </row>
    <row r="8" ht="58" customHeight="1" s="142">
      <c r="A8" s="133" t="inlineStr">
        <is>
          <t>Discovery, Development, and PreClinical</t>
        </is>
      </c>
      <c r="B8" s="133" t="inlineStr">
        <is>
          <t>Discovery, Development, and PreClinical covers vendors and offerings primarily focused on Drug, Pharmaceutical, Ai-driven, and Behavioral. Common associated descriptions include: Consulting services and software for pharmaceutical R&amp;D; Modeling and simulation software for pharmaceutical R&amp;D; R&amp;D software and integrated risk management solutions for life sciences; AI-driven drug discovery software and services; Bio-pharmaceutical Services and Solutions; and 2 additional related offerings.</t>
        </is>
      </c>
    </row>
    <row r="9" ht="58" customHeight="1" s="142">
      <c r="A9" s="133" t="inlineStr">
        <is>
          <t>Engineering</t>
        </is>
      </c>
      <c r="B9" s="133"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row>
    <row r="10" ht="58" customHeight="1" s="142">
      <c r="A10" s="133" t="inlineStr">
        <is>
          <t>Enterprise Agility</t>
        </is>
      </c>
      <c r="B10" s="133"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row>
    <row r="11" ht="29.15" customHeight="1" s="142">
      <c r="A11" s="133" t="inlineStr">
        <is>
          <t>Enterprise Value Management</t>
        </is>
      </c>
      <c r="B11" s="133" t="inlineStr">
        <is>
          <t>Enterprise Value Management covers vendors and offerings primarily focused on Companies, Innovation, Partnering, and Pharmaceutical. Common associated descriptions include: Innovation management software and partnering platforms for pharmaceutical companies.</t>
        </is>
      </c>
    </row>
    <row r="12" ht="58" customHeight="1" s="142">
      <c r="A12" s="133" t="inlineStr">
        <is>
          <t>Finance</t>
        </is>
      </c>
      <c r="B12" s="133"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row>
    <row r="13" ht="58" customHeight="1" s="142">
      <c r="A13" s="133" t="inlineStr">
        <is>
          <t>Human Resources and Talent</t>
        </is>
      </c>
      <c r="B13" s="133"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row>
    <row r="14" ht="58" customHeight="1" s="142">
      <c r="A14" s="133" t="inlineStr">
        <is>
          <t>IT Operations</t>
        </is>
      </c>
      <c r="B14" s="133"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row>
    <row r="15" ht="58" customHeight="1" s="142">
      <c r="A15" s="133" t="inlineStr">
        <is>
          <t>Manufacturing</t>
        </is>
      </c>
      <c r="B15" s="133"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row>
    <row r="16" ht="58" customHeight="1" s="142">
      <c r="A16" s="133" t="inlineStr">
        <is>
          <t>Marketing</t>
        </is>
      </c>
      <c r="B16" s="133"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row>
    <row r="17" ht="58" customHeight="1" s="142">
      <c r="A17" s="133" t="inlineStr">
        <is>
          <t>Medical Affairs</t>
        </is>
      </c>
      <c r="B17" s="133"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row>
    <row r="18" ht="58" customHeight="1" s="142">
      <c r="A18" s="133" t="inlineStr">
        <is>
          <t>Quality and Validation</t>
        </is>
      </c>
      <c r="B18" s="133"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row>
    <row r="19" ht="72.65000000000001" customHeight="1" s="142">
      <c r="A19" s="133" t="inlineStr">
        <is>
          <t>Regulatory Affairs</t>
        </is>
      </c>
      <c r="B19" s="133"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row>
    <row r="20" ht="58" customHeight="1" s="142">
      <c r="A20" s="133" t="inlineStr">
        <is>
          <t>Sales</t>
        </is>
      </c>
      <c r="B20" s="133"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row>
    <row r="21" ht="72.65000000000001" customHeight="1" s="142">
      <c r="A21" s="133" t="inlineStr">
        <is>
          <t>Supply Chain and Distribution</t>
        </is>
      </c>
      <c r="B21" s="133"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row>
    <row r="22">
      <c r="A22" s="134" t="n"/>
      <c r="B22" s="134"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Patange, Rajesh</dc:creator>
  <dcterms:created xsi:type="dcterms:W3CDTF">2026-04-26T01:49:48Z</dcterms:created>
  <dcterms:modified xsi:type="dcterms:W3CDTF">2026-06-16T15:01:37Z</dcterms:modified>
  <cp:lastModifiedBy>Kemp, Jason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0x0101002E0A96583E40ED498E6605FC485A757F</vt:lpwstr>
  </property>
</Properties>
</file>